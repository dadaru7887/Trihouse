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wonsiyeon/Documents/Codex/Trihouse/docs/scenario/"/>
    </mc:Choice>
  </mc:AlternateContent>
  <xr:revisionPtr revIDLastSave="0" documentId="13_ncr:1_{6719EA11-ACA8-FE4C-9928-6C16048F479F}" xr6:coauthVersionLast="47" xr6:coauthVersionMax="47" xr10:uidLastSave="{00000000-0000-0000-0000-000000000000}"/>
  <bookViews>
    <workbookView xWindow="0" yWindow="500" windowWidth="27680" windowHeight="17500" xr2:uid="{00000000-000D-0000-FFFF-FFFF00000000}"/>
  </bookViews>
  <sheets>
    <sheet name="System Requirements" sheetId="1" r:id="rId1"/>
    <sheet name="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F2" i="1"/>
  <c r="D2" i="1"/>
  <c r="B2" i="1"/>
</calcChain>
</file>

<file path=xl/sharedStrings.xml><?xml version="1.0" encoding="utf-8"?>
<sst xmlns="http://schemas.openxmlformats.org/spreadsheetml/2006/main" count="471" uniqueCount="294">
  <si>
    <t>Trihouse System Requirements - 4주 시연 범위</t>
  </si>
  <si>
    <t>총 SR</t>
  </si>
  <si>
    <t>High</t>
  </si>
  <si>
    <t>Medium</t>
  </si>
  <si>
    <t>Low</t>
  </si>
  <si>
    <t>High: 필수 기능 | Medium: 기본 운영·예외 대응 | Low: 핵심 기능 완료 후 확장</t>
  </si>
  <si>
    <t>SR ID</t>
  </si>
  <si>
    <t>Category</t>
  </si>
  <si>
    <t>Subject</t>
  </si>
  <si>
    <t>Name</t>
  </si>
  <si>
    <t>Priority</t>
  </si>
  <si>
    <t>UR ID</t>
  </si>
  <si>
    <t>Description</t>
  </si>
  <si>
    <t>SR_01</t>
  </si>
  <si>
    <t>입고, 출고, 비상상황</t>
  </si>
  <si>
    <t>관제 UI</t>
  </si>
  <si>
    <t>통합 관제 화면 기능</t>
  </si>
  <si>
    <t>UR_07</t>
  </si>
  <si>
    <t>관제 UI는 운영자가 하나의 화면에서 등록된 모든 Pinky와 OMX, 진행 중인 입고·출고 작업 및 사람 위급상황을 확인할 수 있도록 한다.
• 창고 지도에 Pinky의 위치와 방향을 표시하고 로봇별 배터리, 안전 상태, 현재 작업과 오류를 함께 표시한다.
• 작업별 주문·물품, 배정 로봇, 현재 단계 및 대기·진행·완료·실패 상태를 표시한다.
• 사람 위급상황은 발생 위치와 시각을 일반 알림보다 눈에 띄게 표시한다.
• 카메라 영상은 운영자가 선택한 경우에만 CCTV 다중 화면으로 재생하며, 선택 여부와 관계없이 녹화 서버의 저장은 계속된다.
• UI는 Gateway의 REST·WebSocket을 사용하고 DB, RMF 또는 ROS 노드에 직접 접근하지 않는다.</t>
  </si>
  <si>
    <t>SR_02</t>
  </si>
  <si>
    <t>관제 UI, FMS</t>
  </si>
  <si>
    <t>관리자 개입 기능</t>
  </si>
  <si>
    <t>UR_07, UR_12</t>
  </si>
  <si>
    <t>관제 UI는 자동 처리로 해결되지 않는 작업에 한해 운영자가 작업 보류, 재개, 취소 또는 재할당을 요청할 수 있도록 한다.
• 정상적인 할당, 정지, 취소와 재할당은 FMS가 자동 수행하고 관리자 판단이 필요한 작업만 개입 대상으로 표시한다.
• 취소와 재할당은 확인 절차를 거치며 같은 요청을 중복 실행하지 않는다.
• 물품을 파지하거나 운반 중이면 로봇이 현재 물품을 안전하게 유지한 상태에서 작업을 보류한다.
• 재할당은 마지막으로 정상 완료된 단계의 다음 단계부터 시작하며 완료된 파지·적재·운반 단계를 반복하지 않는다.
• 실행할 수 없는 요청은 기존 작업 상태를 유지하고 사유를 화면에 표시한다.</t>
  </si>
  <si>
    <t>SR_03</t>
  </si>
  <si>
    <t>Pinky, OMX</t>
  </si>
  <si>
    <t>로봇 상태 공유 기능</t>
  </si>
  <si>
    <t>UR_06, UR_07</t>
  </si>
  <si>
    <t>Pinky와 OMX는 FMS가 작업을 배정하고 관제 UI가 진행 상태를 표시할 수 있도록 현재 상태를 주기적으로 전송한다.
• 공통 정보에는 로봇 ID, 전송 시각, 작업 ID와 현재 단계를 포함한다.
• Pinky는 위치·방향, 배터리, 주행, 적재, 안전 및 오류 상태를 전송한다.
• OMX는 준비, 동작, 파지·적재, 안전 및 오류 상태를 전송한다.
• 기본 전송 주기는 1초로 하고 작업 단계나 안전 상태가 바뀌면 즉시 전송한다.
• 센서 또는 제어 오류로 작업할 수 없으면 작업 불가 상태를 전송하고 FMS는 새 작업을 배정하지 않는다.</t>
  </si>
  <si>
    <t>SR_04</t>
  </si>
  <si>
    <t>DB, 녹화 서버</t>
  </si>
  <si>
    <t>작업·비상 이력 및 영상 기록 기능</t>
  </si>
  <si>
    <t>UR_10, UR_15</t>
  </si>
  <si>
    <t>DB와 녹화 서버는 입고·출고 작업 및 사람 위급상황을 작업 ID와 시각을 기준으로 추적할 수 있도록 기록한다.
• DB에는 작업 ID, 주문·물품 ID, 로봇 ID, 단계별 시작·종료 시각, 결과, 취소·재할당 및 관리자 개입을 기록한다.
• 녹화 서버는 관제 화면의 재생 여부와 관계없이 등록된 모든 카메라의 H.264 영상을 계속 저장한다.
• 영상은 카메라 ID와 시각으로 조회할 수 있는 1분 단위 파일로 저장한다.
• 저장 한도를 넘으면 재생 중이거나 기록 중인 파일을 제외하고 가장 오래된 완료 파일부터 삭제한다.
• 최종 보존 기간과 용량은 실제 서버 저장 공간을 확인한 후 설정값으로 확정한다.</t>
  </si>
  <si>
    <t>SR_05</t>
  </si>
  <si>
    <t>YOLO</t>
  </si>
  <si>
    <t>저조도 데이터 증강 기반 인식 기능</t>
  </si>
  <si>
    <t>UR_08</t>
  </si>
  <si>
    <t>YOLO는 저조도·반사·그림자가 포함된 학습 데이터로 학습하여 상온·냉장·냉동 구역에서 사람과 물품 인식 성능을 유지한다.
• 밝기, 대비, 노이즈와 그림자 증강은 학습 데이터셋을 만들 때만 적용한다.
• 실시간으로 들어오는 영상에는 밝기나 대비 보정을 적용하지 않는다.
• 원본 검증 세트와 저조도 검증 세트를 분리해 사람·물품 검출 성능을 확인한다.
• QR 해독과 ArUco 검출은 전용 OpenCV 처리기를 사용하며 YOLO가 대신하지 않는다.
• 물품 또는 마커를 확인하지 못하면 OMX 작업을 시작하지 않고 정해진 재인식 절차로 전환한다.</t>
  </si>
  <si>
    <t>SR_06</t>
  </si>
  <si>
    <t>입고, 출고</t>
  </si>
  <si>
    <t>FMS, DB</t>
  </si>
  <si>
    <t>작업 완료 후 원본 DB 반영 기능</t>
  </si>
  <si>
    <t>UR_01, UR_02, UR_15</t>
  </si>
  <si>
    <t>FMS와 DB는 작업 중간 상태를 원본 재고에 반영하지 않고 물품의 최종 적재 또는 전달이 완료된 후 결과를 한 번만 반영한다.
• 작업 진행 상태는 원본 재고와 분리된 작업 단계 데이터로 관리한다.
• 입고는 지정 선반 적재가 완료된 후 수량, 보관 구역과 선반·슬롯을 반영한다.
• 출고는 포장대 또는 작업자 전달 위치까지 인계가 완료된 후 출고 수량과 상태를 반영한다.
• 파지, OMX-Pinky 적재와 운반 같은 중간 단계에서는 원본 재고를 변경하지 않는다.
• 보류·취소된 작업은 작업 상태만 변경하고 원본 재고는 유지한다.</t>
  </si>
  <si>
    <t>SR_07</t>
  </si>
  <si>
    <t>FMS</t>
  </si>
  <si>
    <t>작업 할당 기능</t>
  </si>
  <si>
    <t>UR_01, UR_02, UR_06, UR_13</t>
  </si>
  <si>
    <t>FMS는 주문과 로봇의 상태·일정을 바탕으로 Pinky를 배정하고, Pinky의 창고별 도착 예상 시각에 맞춰 OMX 작업을 할당한다.
• 기본 범위에서는 주문 1건을 완료할 때까지 Pinky 1대에만 배정한다.
• 현재 작업 중인 Pinky도 예상 완료·복귀 시각을 계산해 다음 작업을 미리 예약할 수 있으며 작업 시간은 겹치지 않아야 한다.
• 같은 창고 또는 동일 OMX 작업 위치의 물품은 하나의 작업 묶음으로 구성한다.
• Pinky의 예상 출발 위치에서 각 작업 묶음을 거쳐 포장대까지의 전체 이동 시간이 짧아지도록 방문 순서를 정한다.
• FMS는 Pinky 도착 예상 시각에서 OMX 예상 파지 시간과 준비 여유 시간을 뺀 시각에 사전 파지 명령을 전송한다.
• 여러 OMX는 같은 주문의 서로 다른 창고 물품을 병렬로 준비할 수 있지만 실제 적재는 해당 Pinky 도착과 양쪽 준비 완료 후 시작한다.
• RMF/Fleet Adapter는 배정된 Pinky의 경로와 교통을 조정하며 같은 주문의 Pinky를 임의로 변경하지 않는다.</t>
  </si>
  <si>
    <t>SR_08</t>
  </si>
  <si>
    <t>작업 재할당 기능</t>
  </si>
  <si>
    <t>UR_12</t>
  </si>
  <si>
    <t>FMS는 Pinky가 작업을 계속 수행할 수 없을 때 미완료 작업을 다른 Pinky에 재할당한다.
• 작업 시작 전이면 주문 전체를 다른 Pinky에 배정한다.
• 작업 진행 중이면 마지막으로 정상 완료된 단계의 다음 단계부터 이어서 수행한다.
• 완료된 파지, 적재 또는 운반 단계는 재할당된 Pinky가 반복하지 않는다.
• 물품이 기존 Pinky에 실려 있어 다른 Pinky가 직접 이어받을 수 없으면 작업을 보류하고 관리자 개입 필요 상태로 표시한다.
• 즉시 가능한 Pinky가 없으면 예상 완료·복귀 시각이 가장 빠른 Pinky의 다음 작업으로 예약한다.</t>
  </si>
  <si>
    <t>SR_09</t>
  </si>
  <si>
    <t>FMS, RMF/Fleet Adapter</t>
  </si>
  <si>
    <t>공유 작업공간·경로 예약 기능</t>
  </si>
  <si>
    <t>UR_06, UR_09, UR_14</t>
  </si>
  <si>
    <t>FMS와 RMF/Fleet Adapter는 같은 작업 위치나 좁은 통로를 여러 Pinky가 동시에 사용하지 않도록 공간과 진입 시간을 예약한다.
• FMS는 OMX 작업 위치, 픽업 위치, 포장대 및 대기·충전 위치의 사용 상태를 관리한다.
• RMF/Fleet Adapter는 등록된 주행 그래프를 기준으로 좁은 통로의 진입 순서를 조정한다.
• 예약 권한이 없는 Pinky는 지도에 등록된 가까운 대기 노드에서 기다린다.
• 작업 우선순위가 높은 요청을 먼저 처리하고 같은 우선순위이면 먼저 요청한 작업을 우선한다.
• 로봇이 공간을 벗어나거나 작업이 취소되면 예약을 해제한다.
• RMF 교통 조정과 별개로 사람이나 즉시 장애물에 대한 정지는 Pinky의 Nav2·안전 기능이 수행한다.</t>
  </si>
  <si>
    <t>SR_10</t>
  </si>
  <si>
    <t>다량 물품 작업 분할 기능</t>
  </si>
  <si>
    <t>UR_01, UR_02, UR_11</t>
  </si>
  <si>
    <t>FMS는 기본 기능에서 구성한 창고별 작업 묶음을 여러 Pinky에 분할 할당하여 다량 물품 주문의 전체 완료 시간을 줄인다.
• 이 확장 기능에서는 주문 1건에 여러 Pinky를 배정할 수 있다.
• 각 작업 묶음은 Pinky의 예상 출발 위치, 기존 작업 완료 시각, 배터리 상태 및 포장대까지의 이동 시간을 기준으로 배정한다.
• 같은 창고의 작업 묶음은 나누지 않고 한 Pinky가 처리하며 하나의 작업 묶음을 중복 할당하지 않는다.
• 배터리가 부족한 Pinky에는 포장대와 가까운 창고처럼 이동 거리가 짧은 작업 묶음을 우선 배정한다.
• 현재 가능한 Pinky가 없어도 예상 완료·복귀 시각이 가장 빠른 Pinky의 다음 작업으로 미리 예약한다.
• 모든 Pinky가 담당 물품을 지정 위치에 전달한 경우에만 주문 전체를 완료 처리한다.</t>
  </si>
  <si>
    <t>SR_11</t>
  </si>
  <si>
    <t>OMX</t>
  </si>
  <si>
    <t>물품 파지 기능</t>
  </si>
  <si>
    <t>UR_13</t>
  </si>
  <si>
    <t>OMX는 물품의 위치와 식별 정보가 확인되면 물품을 파지하고 파지 성공을 확인한 후 다음 적재 단계로 진행한다.
• FMS는 기존 NDJSON/TCP 연결을 통해 작업 ID, 주문 ID, 물품 ID와 대상 선반·슬롯을 OMX에 전달한다.
• OMX는 DB에 저장된 선반·슬롯 정보와 ArUco로 보정한 사전 등록 파지 좌표를 사용하며, 해당 위치의 QR 정보가 작업 대상 물품과 일치하는 경우에만 파지한다.
• 입고 작업은 물품을 실은 Pinky가 OMX 작업 위치에 도착하고 두 로봇이 준비된 후 파지를 시작한다.
• 출고 작업은 FMS의 사전 파지 명령에 따라 Pinky 도착 전에 물품을 파지하고 안전 대기 자세에서 기다린다.
• 파지 동작과 들어 올림을 정상 완료하지 못하면 다음 적재 동작을 수행하지 않고 파지 실패를 전송한다.
• 출고용 사전 파지와 Pinky 도착 후 적재는 서로 다른 명령 단계로 구현한다.</t>
  </si>
  <si>
    <t>SR_12</t>
  </si>
  <si>
    <t>공통 물품 위치·존재 인식 기능</t>
  </si>
  <si>
    <t>UR_01, UR_02, UR_13</t>
  </si>
  <si>
    <t>YOLO는 물품 종류와 관계없이 공통 물품 클래스로 물품의 존재 여부와 영상 내 위치를 인식하여 사전 등록 좌표만으로 파지하기 어려운 경우 OMX의 보조 위치 정보로 제공한다.
• 고정 카메라 또는 OMX 카메라 영상에서 공통 item 클래스의 존재 여부, 바운딩 박스 중심점과 신뢰도를 출력한다.
• ArUco로 보정한 카메라 좌표와 선반·슬롯 기준 평면을 사용하여 검출 중심점을 OMX 작업 좌표로 변환한다.
• 물품 ID는 YOLO가 판단하지 않으며 QR 정보가 작업 대상 물품과 일치할 때만 검출 좌표를 사용할 수 있다.
• 기본 파지는 사전 등록 좌표를 우선 사용하고 위치 이탈 또는 반복 파지 실패 시에만 이 기능을 사용한다.
• 여러 물품 중 대상을 하나로 결정할 수 없거나 신뢰도가 기준보다 낮으면 좌표를 제공하지 않는다.</t>
  </si>
  <si>
    <t>SR_13</t>
  </si>
  <si>
    <t>파지 실패 재시도 기능</t>
  </si>
  <si>
    <t>OMX는 최초 파지에 실패하면 같은 물품을 안전 자세에서 다시 확인하고 설정된 횟수만큼 재파지한다.
• 재시도 전 그리퍼를 열고 사전 등록된 관측 자세로 복귀한다.
• 매 시도마다 ArUco 위치와 QR 물품 ID를 다시 확인한다.
• 초기 구현의 재시도 횟수는 3회로 설정하고 설정 파일에서 변경할 수 있도록 한다.
• 같은 좌표로 반복하지 않고 허용 범위 안에서 사전 등록된 보정 좌표를 순서대로 사용한다.
• 설정 횟수 이후에도 실패하면 동작을 멈추고 최종 파지 실패 처리로 전환한다.</t>
  </si>
  <si>
    <t>SR_14</t>
  </si>
  <si>
    <t>바구니 위치·자세 보정 기능</t>
  </si>
  <si>
    <t>OMX는 고정 카메라 영상에서 인식한 Pinky 바구니의 외곽 네 모서리를 기준으로 바구니 위치와 회전을 계산하고 파지·적재 자세를 보정한다.
• 물품에 가려질 수 있는 바구니 내부 마커는 사용하지 않고 물품보다 바깥쪽에 보이는 바구니 테두리를 YOLO OBB로 인식해 네 꼭짓점을 구한다.
• 사전에 등록한 바구니 크기와 카메라 보정값을 사용하여 네 모서리를 OMX 기준 좌표로 변환한다.
• 보정 결과는 바구니 내부의 사전 등록 파지·적재 좌표에 평행이동과 회전으로 적용한다.
• 바구니 외곽을 안정적으로 인식하지 못하거나 보정량이 허용 범위를 넘으면 OMX를 움직이지 않고 Pinky 재정차를 요청한다.
• Pinky는 항상 같은 작업 위치에 정차하도록 하고 이 기능은 남은 정차 오차만 보정한다.</t>
  </si>
  <si>
    <t>SR_15</t>
  </si>
  <si>
    <t>다중 물품 임시 적재 기능</t>
  </si>
  <si>
    <t>OMX는 같은 창고에서 처리할 물품이 2개 이상이면 파지한 물품을 등록된 임시 선반에 순서대로 준비한 뒤 Pinky 또는 지정 선반으로 옮긴다.
• 물품이 1개이면 파지한 상태로 안전 대기 자세를 유지할 수 있다.
• 물품이 2개 이상이면 빈 임시 슬롯에 내려놓고 다음 물품을 처리한다.
• 임시 슬롯에는 작업 ID, 주문 ID와 물품 ID를 연결해 다른 작업이 사용하지 못하도록 예약한다.
• 다시 파지할 때 QR을 확인하여 해당 임시 슬롯의 예약 물품과 일치해야 한다.
• 빈 임시 슬롯이 없으면 추가 물품을 파지하지 않고 현재 준비된 물품 처리까지 기다린다.</t>
  </si>
  <si>
    <t>SR_16</t>
  </si>
  <si>
    <t>로봇팔 사람 충돌 방지 기능</t>
  </si>
  <si>
    <t>UR_09, UR_13</t>
  </si>
  <si>
    <t>OMX는 작업 영역 안에 사람이 들어오면 진행 중인 동작을 정지하고 사람이 벗어난 후 안전한 단계부터 작업을 재개한다.
• YOLO의 사람 검출 결과가 OMX 작업 금지 영역과 겹치면 그리퍼 상태를 유지한 채 관절 동작을 정지한다.
• 정지 중에는 새로운 파지·적재 명령을 시작하지 않는다.
• 사람이 연속된 확인 프레임 동안 작업 영역 밖에 있고 OMX 상태가 정상일 때만 재개한다.
• 물품을 들고 있으면 바로 놓지 않고 현재 자세를 유지하거나 등록된 안전 자세로 이동한다.
• 재개 시 완료된 단계는 반복하지 않는다.</t>
  </si>
  <si>
    <t>SR_17</t>
  </si>
  <si>
    <t>QR·ArUco</t>
  </si>
  <si>
    <t>물품 정보 일치 확인 기능</t>
  </si>
  <si>
    <t>QR·ArUco 처리기는 OMX가 파지하려는 물품과 활성 작업에 예약된 물품이 일치하는지 확인한다.
• FMS가 제공한 주문 ID, 예약 물품 ID와 대상 선반·슬롯을 기준 정보로 사용한다.
• QR에서 읽은 물품 ID가 예약 물품 ID와 일치하고 해당 예약이 같은 주문 ID에 속할 때만 파지를 승인한다.
• 입고 QR에는 상온·냉장·냉동 보관 방법을 포함하며 출고 대상 확인에는 예약 물품 ID를 사용한다.
• QR을 읽지 못하거나 정보가 일치하지 않으면 파지를 시작하지 않고 재인식한다.
• 반복 불일치는 해당 물품을 보류하고 FMS에 불일치 정보를 전달한다.</t>
  </si>
  <si>
    <t>SR_18</t>
  </si>
  <si>
    <t>선반·슬롯 위치 확인 기능</t>
  </si>
  <si>
    <t>QR·ArUco 처리기는 OMX 작업 전에 카메라로 선반 마커를 확인하고 사전 등록된 선반·슬롯 좌표를 실제 관측 위치에 맞게 보정한다.
• 마커 ID, 실제 크기, 카메라 내부 파라미터와 marker_to_slot 변환을 설정 파일에 등록한다.
• 관측한 마커 ID가 작업 대상 선반과 일치할 때만 좌표 보정을 수행한다.
• 보정된 위치와 회전이 허용 오차 안이면 OMX에 파지·적재 시작 자세를 제공한다.
• 마커를 찾지 못하거나 다른 마커가 검출되거나 오차가 기준을 넘으면 OMX 동작을 시작하지 않고 재인식한다.</t>
  </si>
  <si>
    <t>SR_19</t>
  </si>
  <si>
    <t>로봇팔 작업영역 사람 감지 기능</t>
  </si>
  <si>
    <t>YOLO는 고정 카메라에서 OMX 작업 영역에 접근한 사람을 검출하여 OMX 안전 제어에 전달한다.
• 카메라별 OMX 작업 금지 영역을 다각형 ROI로 사전 등록한다.
• 검출 결과에는 카메라 ID, 시각, 사람 바운딩 박스, 신뢰도와 ROI 중첩 여부를 포함한다.
• 한 프레임의 오검출을 줄이기 위해 설정된 연속 프레임 조건을 만족할 때 사람 진입 이벤트를 전송한다.
• 사람이 검출되지 않는 경우에도 OMX의 자체 관절·작업공간 제한은 계속 적용한다.</t>
  </si>
  <si>
    <t>SR_20</t>
  </si>
  <si>
    <t>Pinky 주행경로 사람 감지 기능</t>
  </si>
  <si>
    <t>UR_09</t>
  </si>
  <si>
    <t>YOLO는 Pinky 전방 영상에서 사람을 검출하고 주행 경로와 겹치는 사람 정보를 Pinky 안전 제어에 전달한다.
• 검출 결과에는 Pinky ID, 프레임 시각, 사람 바운딩 박스, 신뢰도와 추적 ID를 포함한다.
• Pinky에서 수신한 영상은 RTSP로 영상 서버에 전달하고 YOLO 결과만 경량 메시지로 반환한다.
• 연속 프레임에서 같은 사람을 추적하여 일시적인 오검출과 실제 접근을 구분한다.
• 즉시 정지 판단은 YOLO만 사용하지 않고 Pinky의 거리 센서와 Nav2 안전 상태를 함께 사용한다.</t>
  </si>
  <si>
    <t>SR_21</t>
  </si>
  <si>
    <t>최종 파지 실패 보고 기능</t>
  </si>
  <si>
    <t>UR_13, UR_15</t>
  </si>
  <si>
    <t>FMS는 OMX의 정해진 재시도가 모두 실패하면 해당 물품 작업을 보류하고 관제 UI에 최종 파지 실패를 표시한다.
• 실패 정보에는 작업 ID, 주문 ID, 물품 ID, 선반·슬롯, OMX ID와 최종 실패 시각을 포함한다.
• 오류 원인을 세부 분류하도록 요구하지 않고 OMX가 제공한 마지막 결과를 그대로 기록한다.
• 최종 실패 시각을 기준으로 이전 설정 구간의 카메라 영상을 찾을 수 있도록 카메라 ID와 녹화 파일 경로를 함께 전달한다.
• 다른 물품 작업을 계속할 수 있으면 실패 물품만 보류하고, 계속할 수 없으면 해당 작업 묶음을 보류한다.</t>
  </si>
  <si>
    <t>SR_22</t>
  </si>
  <si>
    <t>Pinky</t>
  </si>
  <si>
    <t>미끄럼 감지·주행 보정 기능</t>
  </si>
  <si>
    <t>UR_08, UR_09</t>
  </si>
  <si>
    <t>Pinky는 바퀴 오도메트리와 IMU의 이동량 차이를 이용해 미끄럼을 감지하고 속도를 낮춰 주행 오차를 줄인다.
• 직진·회전 명령 대비 오도메트리와 IMU 변화가 설정된 범위를 벗어나면 미끄럼으로 판단한다.
• 미끄럼이 감지되면 속도를 제한하고 Nav2에 현재 위치 기준 경로 재계획을 요청한다.
• 위치 오차가 계속 커지면 안전하게 정지하고 작업을 보류한다.
• 임계값은 상온·냉장·냉동 바닥에서 실제 주행 시험 후 설정 파일로 확정한다.</t>
  </si>
  <si>
    <t>SR_23</t>
  </si>
  <si>
    <t>사람 충돌 방지 주행 기능</t>
  </si>
  <si>
    <t>Pinky는 주행 경로에서 사람이 감지되면 안전거리를 유지하도록 감속 또는 정지하고 경로가 안전해진 후 이동을 재개한다.
• 전방 거리 센서의 정지 조건은 영상 인식 결과보다 우선 적용한다.
• 사람이 보호 영역 안에 들어오면 Nav2 목표를 유지한 채 속도 명령을 0으로 제한한다.
• 사람이 경로에서 벗어나고 거리 센서가 안전한 상태이면 현재 위치에서 경로를 다시 확인한 후 이동한다.
• 사람을 피하기 위해 등록되지 않은 구역으로 임의 진입하지 않는다.</t>
  </si>
  <si>
    <t>SR_24</t>
  </si>
  <si>
    <t>물품 운반 기능</t>
  </si>
  <si>
    <t>UR_01, UR_02, UR_14</t>
  </si>
  <si>
    <t>Pinky는 물품을 실은 후 창고 선반 작업 위치, 포장대 또는 작업자 요청 전달 위치로 이동하고 도착·정차 상태를 전송한다.
• FMS가 지정한 목적지와 RMF/Fleet Adapter가 승인한 경로를 Nav2 목표로 사용한다.
• 이동 중에는 물품을 내리거나 자동 하차 동작을 수행하지 않는다.
• 목적지 허용 반경과 방향 조건을 만족한 뒤 정차한 경우에만 도착 상태를 전송한다.
• 목적지 공간이 예약 중이면 지정된 대기 노드에서 기다린다.</t>
  </si>
  <si>
    <t>SR_25</t>
  </si>
  <si>
    <t>대기·충전소 복귀 기능</t>
  </si>
  <si>
    <t>UR_11</t>
  </si>
  <si>
    <t>Pinky는 작업이 없거나 배터리 복귀 조건을 만족하면 FMS가 지정한 대기·충전소 위치로 이동한다.
• 복귀 위치는 RMF 지도에 등록된 대기 또는 충전 노드 중 FMS가 지정한다.
• 물품을 운반 중이면 예상 소비 전력으로 현재 전달 작업을 완료할 수 있는지 먼저 판단한다.
• 작업 완료가 가능하면 지정 위치까지 전달한 후 복귀하고, 불가능하면 안전 위치에서 작업을 보류한다.
• 복귀는 지정 위치 정차까지이며 충전 단자 접촉이나 충전 시작 제어는 수행하지 않는다.</t>
  </si>
  <si>
    <t>SR_26</t>
  </si>
  <si>
    <t>VLM+RL</t>
  </si>
  <si>
    <t>주행 예외 복구 기능</t>
  </si>
  <si>
    <t>VLM+RL은 Pinky가 Nav2의 기본 재계획으로 해결하지 못한 정지·통로 차단 상황에서 허용된 복구 행동 중 하나를 제안한다.
• Nav2의 기본 장애물 회피와 복구를 먼저 실행하고 반복 실패 또는 진행 정체가 확인된 경우에만 호출한다.
• VLM은 선택된 영상, YOLO 결과, Nav2 상태와 local costmap 요약을 받아 위험과 후보 행동을 구조화된 값으로 출력한다.
• RL은 정지 유지, 등록 대기 노드 이동, 허용 경로 재시도 같은 제한된 후보 중 하나만 선택한다.
• 후보 좌표는 지도·TF·costmap과 안전 영역 검사를 통과해야 실행할 수 있다.
• VLM+RL은 직접 속도 명령을 만들거나 Pinky의 안전 정지를 해제할 수 없다.</t>
  </si>
  <si>
    <t>SR_27</t>
  </si>
  <si>
    <t>배터리 기반 작업 제한 기능</t>
  </si>
  <si>
    <t>FMS는 Pinky의 현재 배터리와 예상 이동 시간을 고려해 작업 완료와 대기·충전소 복귀가 가능한 작업만 배정한다.
• 배터리 상태를 정상, 작업 제한, 복귀 필요의 세 단계로 설정한다.
• 작업 제한 상태의 Pinky에는 현재 위치와 포장대에서 가까운 창고의 짧은 작업을 우선 배정한다.
• 예상 작업 소비량과 복귀 여유량을 합한 값보다 배터리가 적으면 새 작업을 배정하지 않는다.
• 단계별 기준값은 실제 Pinky 운행 시간을 측정한 후 설정 파일에서 조정한다.</t>
  </si>
  <si>
    <t>SR_28</t>
  </si>
  <si>
    <t>로봇 준비상태 동기화 기능</t>
  </si>
  <si>
    <t>UR_06, UR_13</t>
  </si>
  <si>
    <t>FMS는 입고·출고 인수인계 작업에서 Pinky와 OMX가 모두 준비 완료 상태일 때만 물품 이동 동작을 시작시킨다.
• Pinky는 작업 위치 정차와 바구니 자세 확인 후 준비 완료를 전송한다.
• OMX는 대상 물품 파지 또는 입고 물품 접근 준비를 완료한 후 준비 완료를 전송한다.
• FMS는 같은 작업 ID에 대한 두 준비 상태를 모두 확인한 뒤 적재·하차 시작 명령을 전송한다.
• 한쪽이 준비되지 않았으면 준비된 로봇은 현재 안전 상태에서 기다리고 동작을 시작하지 않는다.
• 작업이 취소되거나 대상 로봇이 바뀌면 기존 준비 상태를 무효화한다.</t>
  </si>
  <si>
    <t>SR_29</t>
  </si>
  <si>
    <t>작업 단계 통합 관리 기능</t>
  </si>
  <si>
    <t>UR_01, UR_02, UR_06, UR_15</t>
  </si>
  <si>
    <t>FMS는 입고·출고 작업을 명시적인 단계와 상태로 관리하고 완료 이벤트에 따라 다음 단계를 한 번만 실행한다.
• 작업 상태는 대기, 배정, 실행, 보류, 완료, 실패로 관리한다.
• 각 단계에는 작업 ID, 단계 ID, 실행 로봇, 시작·완료 시각과 결과를 기록한다.
• Pinky와 OMX의 완료 이벤트가 현재 작업 ID와 단계 ID에 일치할 때만 다음 단계로 진행한다.
• 같은 완료 이벤트를 다시 받아도 다음 단계를 중복 실행하지 않는다.
• 보류 후 재개할 때는 마지막 정상 완료 단계의 다음 단계부터 수행한다.</t>
  </si>
  <si>
    <t>SR_30</t>
  </si>
  <si>
    <t>FMS, Pinky, OMX</t>
  </si>
  <si>
    <t>통신 단절 안전정지·작업복구 기능</t>
  </si>
  <si>
    <t>확장 범위에서 FMS, Pinky 또는 OMX의 작업 통신이 끊기면 로봇은 현재 물품을 안전하게 유지하고 마지막 완료 단계부터 복구할 수 있도록 한다.
• Pinky는 안전하게 정지하고 OMX는 물품을 들고 있으면 등록된 안전 자세를 유지한다.
• 각 로봇은 작업 ID와 마지막 완료 단계만 로컬에 보관한다.
• 통신 복구 후 FMS의 작업 단계와 로봇의 마지막 완료 단계를 비교한다.
• 상태가 일치하면 다음 단계부터 재개하고 일치하지 않으면 작업을 보류한다.
• 이 기능은 기본 시연 범위에서 제외하고 핵심 작업 완료 후 구현한다.</t>
  </si>
  <si>
    <t>SR_31</t>
  </si>
  <si>
    <t>입고</t>
  </si>
  <si>
    <t>입고 QR 인식 기능</t>
  </si>
  <si>
    <t>UR_01</t>
  </si>
  <si>
    <t>입고 QR 처리기는 입고 물품의 QR에서 물품 ID, 유통기한과 상온·냉장·냉동 보관 방법을 읽는다.
• QR 형식과 필수 필드를 사전에 정의하고 유효한 값만 입고 정보로 전달한다.
• 같은 QR을 여러 번 읽어도 동일 물품을 중복 등록하지 않도록 스캔 ID를 사용한다.
• QR을 읽지 못하면 정해진 횟수만 재촬영하고 계속 실패하면 수동 등록 대상으로 보류한다.
• 기본 시나리오는 QR 등록 완료 후 시작하며 이 기능은 시간 여유가 있을 때 OMX 또는 고정 카메라로 자동화한다.</t>
  </si>
  <si>
    <t>SR_32</t>
  </si>
  <si>
    <t>DB</t>
  </si>
  <si>
    <t>입고 물품 정보 자동 등록 기능</t>
  </si>
  <si>
    <t>UR_01, UR_15</t>
  </si>
  <si>
    <t>DB는 정상적으로 해독된 입고 QR 정보를 입고 접수 상태로 등록한다.
• 물품 ID, 물품명, 유통기한, 보관 방법, 수량과 등록 시각을 저장한다.
• 동일 스캔 ID 또는 물품 ID의 중복 등록을 막는다.
• 등록 직후에는 선반 위치를 확정하지 않고 적재 예정 상태로 둔다.
• 기본 시나리오에서는 작업자가 등록을 완료한 것으로 가정하며 자동 등록은 확장 범위로 구현한다.</t>
  </si>
  <si>
    <t>SR_33</t>
  </si>
  <si>
    <t>입고 정보 검수 기능</t>
  </si>
  <si>
    <t>FMS는 QR로 등록한 입고 물품 정보와 사전에 입력된 입고 예정 정보를 비교하여 운영자의 검수를 보조한다.
• 물품 ID, 상품명과 수량을 비교 대상으로 사용한다.
• 정보가 일치하면 입고 작업 생성 대상으로 전달한다.
• 정보가 다르거나 예정 정보가 없으면 자동 수정하지 않고 검수 보류 상태로 표시한다.
• 이 기능 없이도 등록된 DB 정보를 기준으로 기본 입고 작업을 시작할 수 있다.</t>
  </si>
  <si>
    <t>SR_34</t>
  </si>
  <si>
    <t>QR 보관 방법 기반 구역 결정 기능</t>
  </si>
  <si>
    <t>FMS는 입고 QR에 기록된 보관 방법을 기준으로 물품의 상온·냉장·냉동 보관 구역을 결정한다.
• QR 값은 사전에 정의한 상온, 냉장, 냉동 코드 중 하나여야 한다.
• DB의 다른 물품 속성으로 보관 방법을 임의 추론하지 않는다.
• 보관 방법 코드가 없거나 허용 값과 다르면 구역을 배정하지 않고 입고 보류로 처리한다.
• 결정된 보관 구역은 선반·슬롯 검색 조건으로 사용한다.</t>
  </si>
  <si>
    <t>SR_35</t>
  </si>
  <si>
    <t>입고 선반·슬롯 배정 기능</t>
  </si>
  <si>
    <t>FMS는 QR로 결정한 보관 구역 안에서 사용 가능한 선반·슬롯을 찾아 입고 물품에 예약한다.
• 사용 가능 상태인 슬롯 중 사전에 정한 선반·슬롯 순서가 빠른 위치를 우선 선택한다.
• 선택한 슬롯은 해당 입고 작업 ID로 예약하여 다른 작업이 동시에 배정받지 못하게 한다.
• 작업이 취소되거나 적재가 실패해 보류되면 슬롯 예약 상태를 갱신한다.
• 같은 보관 구역에 빈 슬롯이 없으면 물품을 입고 대기 위치에 두고 관제 UI에 공간 부족을 표시한다.</t>
  </si>
  <si>
    <t>SR_36</t>
  </si>
  <si>
    <t>입고 전처리 자동화 기능</t>
  </si>
  <si>
    <t>UR_01, UR_06</t>
  </si>
  <si>
    <t>FMS는 입고 QR 인식, DB 등록, 보관 구역·선반 결정 및 Pinky 작업 생성을 연속 처리한다.
• QR과 DB 등록이 완료된 물품만 자동 처리 대상으로 사용한다.
• 같은 창고로 이동할 물품은 하나의 작업 묶음으로 구성한다.
• 기본 작업 할당 규칙에 따라 입고 위치로 이동할 Pinky를 예약한다.
• 어느 단계에서든 입력 정보가 유효하지 않으면 이후 단계를 실행하지 않고 입고 보류 상태로 둔다.
• 이 기능은 QR·DB 등록 이후부터 시작하는 기본 입고 시나리오가 안정된 뒤 구현한다.</t>
  </si>
  <si>
    <t>SR_37</t>
  </si>
  <si>
    <t>지정 선반 적재 기능</t>
  </si>
  <si>
    <t>UR_01, UR_13</t>
  </si>
  <si>
    <t>OMX는 Pinky에서 파지한 입고 물품을 FMS가 지정한 선반·슬롯에 적재한다.
• 선반 ArUco와 슬롯 좌표를 확인하고 물품 QR이 입고 작업 대상과 일치할 때만 적재한다.
• 물품을 파지한 뒤 등록된 안전 경로를 따라 선반의 pre-place 자세로 이동한다.
• 물품을 놓고 그리퍼를 연 뒤 선반 밖 안전 자세로 후퇴한 경우 적재 완료를 전송한다.
• 적재 동작을 완료하지 못하면 원본 재고를 변경하지 않고 재배치 절차를 수행한다.
• 설정 횟수 이후에도 실패하면 해당 물품만 적재 실패·보류로 보고한다.</t>
  </si>
  <si>
    <t>SR_38</t>
  </si>
  <si>
    <t>입고 위치·재고 갱신 기능</t>
  </si>
  <si>
    <t>DB는 OMX의 지정 선반 적재 완료 결과를 받은 후 해당 물품의 재고와 위치를 확정한다.
• 물품 ID, 수량, 보관 구역, 선반·슬롯, 유통기한과 적재 완료 시각을 저장한다.
• 작업 중이거나 임시 선반에 있는 물품은 최종 입고 재고로 반영하지 않는다.
• 동일 작업 ID와 물품 ID의 완료 결과를 한 번만 반영한다.
• 주문 묶음의 일부 물품이 실패하면 성공한 물품만 입고 완료하고 실패 물품은 보류 상태로 유지한다.</t>
  </si>
  <si>
    <t>SR_39</t>
  </si>
  <si>
    <t>출고</t>
  </si>
  <si>
    <t>주문 접수 기능</t>
  </si>
  <si>
    <t>UR_02</t>
  </si>
  <si>
    <t>FMS는 주문을 수신하면 재고와 보관 위치를 확인하고 실제 출고할 물품을 작업 대상으로 확정한다.
• 주문 ID, 물품별 요청 수량, 출고 방식, 목적지를 입력으로 사용한다.
• 재고가 충분하면 물품을 출고 작업에 예약하고 원본 재고 수량은 아직 변경하지 않는다.
• 재고가 부족하고 부분출고가 선택되었으면 가능한 물품만 확정한다.
• 재고가 부족하고 전체출고가 선택되었으면 주문을 취소하고 로봇 작업을 생성하지 않는다.
• 확정된 주문은 작업 단계 데이터에 대기 상태로 등록한다.</t>
  </si>
  <si>
    <t>SR_40</t>
  </si>
  <si>
    <t>유통기한 기반 출고 물품 선정 기능</t>
  </si>
  <si>
    <t>UR_03</t>
  </si>
  <si>
    <t>FMS는 동일 상품의 재고가 여러 개이면 유통기한이 가장 빠른 물품부터 출고 대상으로 선정한다.
• 출고 가능한 상태이고 다른 작업에 예약되지 않은 물품만 후보로 사용한다.
• 유통기한을 오름차순으로 정렬하고 같은 날짜이면 선반·슬롯 순서가 빠른 물품을 선택한다.
• 선정한 물품 ID와 선반·슬롯을 주문 ID에 예약한다.
• 파지 전에 QR로 선정 물품과 실제 물품의 일치 여부를 다시 확인한다.</t>
  </si>
  <si>
    <t>SR_41</t>
  </si>
  <si>
    <t>긴급 주문 우선 처리 기능</t>
  </si>
  <si>
    <t>UR_04</t>
  </si>
  <si>
    <t>FMS는 긴급 표시가 있는 출고 주문을 일반 주문보다 먼저 스케줄링한다.
• 진행 중인 안전한 파지·적재·운반 작업을 강제로 중단하지 않고 다음 배정 순서부터 긴급 주문을 우선한다.
• 긴급 주문끼리는 유통기한이 빠른 물품을 먼저 처리한다.
• 같은 우선순위와 유통기한이면 먼저 접수된 주문을 우선한다.
• 긴급 표시와 우선순위 변경은 작업 이력에 기록한다.</t>
  </si>
  <si>
    <t>SR_42</t>
  </si>
  <si>
    <t>작업자 요청 우선 처리 기능</t>
  </si>
  <si>
    <t>UR_04, UR_05</t>
  </si>
  <si>
    <t>FMS는 작업자 간 전달, 누락 물품 전달 또는 우선 주문 요청을 일반 대기 작업보다 먼저 배정할 수 있도록 한다.
• 요청에는 요청 유형, 물품, 수량, 출발 위치와 전달 위치를 포함한다.
• 진행 중인 작업을 중단하지 않고 다음 작업 배정 시 우선순위를 적용한다.
• 같은 작업자 요청끼리는 접수 시각이 빠른 요청을 우선한다.
• 이 기능은 기본 입고·출고 시나리오 완료 후 구현하는 확장 기능으로 한다.</t>
  </si>
  <si>
    <t>SR_43</t>
  </si>
  <si>
    <t>포장대 사용 상태 관리 기능</t>
  </si>
  <si>
    <t>UR_14</t>
  </si>
  <si>
    <t>FMS와 RMF/Fleet Adapter는 포장대를 예약 가능한 작업 공간으로 관리하여 한 시각에 하나의 주문만 사용하도록 한다.
• 포장대 상태는 사용 가능, 예약, 사용 중으로 관리한다.
• 출고 작업에 포장대를 배정하면 주문 ID와 Pinky ID로 예약한다.
• Pinky가 포장대에 도착하면 사용 중으로 변경하고 인계 완료 또는 작업 취소 후 예약을 해제한다.
• 먼저 예약된 포장대를 다른 Pinky가 사용할 수 없도록 RMF 진입 순서를 조정한다.</t>
  </si>
  <si>
    <t>SR_44</t>
  </si>
  <si>
    <t>포장대 작업자 부재 감지 기능</t>
  </si>
  <si>
    <t>YOLO는 포장대 고정 카메라에서 작업자 존재 여부를 감지하여 FMS의 포장대 선택에 제공한다.
• 카메라별 포장대 작업 영역을 ROI로 등록하고 사람 검출 결과가 ROI와 겹치는지 판단한다.
• 설정된 연속 프레임 동안 사람이 보이면 작업자 있음, 보이지 않으면 작업자 부재로 전달한다.
• 포장대 물품이나 다른 구역의 사람은 작업자로 계산하지 않는다.
• 작업자 부재 결과는 포장대 예약 상태를 직접 변경하지 않고 FMS가 대기·이동 결정에 사용한다.</t>
  </si>
  <si>
    <t>SR_45</t>
  </si>
  <si>
    <t>Pinky, FMS</t>
  </si>
  <si>
    <t>포장대 대기·재배정 기능</t>
  </si>
  <si>
    <t>Pinky와 FMS는 배정된 포장대에 작업자가 없으면 사용 가능한 다른 포장대로 이동하거나 지정 포장대에서 대기한다.
• 작업자가 있는 사용 가능한 포장대가 있으면 FMS가 기존 예약을 해제하고 새 포장대를 예약한다.
• 모든 포장대에 작업자가 없으면 처음 배정된 포장대 또는 가까운 대기 노드로 이동한다.
• FMS는 관제 UI에 작업자 배치 필요 상태를 표시한다.
• 작업자가 확인되면 같은 주문과 물품 상태를 유지한 채 인계를 재개한다.</t>
  </si>
  <si>
    <t>SR_46</t>
  </si>
  <si>
    <t>Pinky 물품 적재 기능</t>
  </si>
  <si>
    <t>UR_02, UR_13</t>
  </si>
  <si>
    <t>OMX는 Pinky와 OMX의 준비 완료가 확인되면 출고 물품을 Pinky 바구니의 등록된 적재 위치에 놓는다.
• 물품이 1개이면 사전 파지 상태에서 바로 적재하고 여러 개이면 임시 선반의 물품을 하나씩 적재한다.
• 바구니 네 모서리 기반 보정 좌표와 사전 등록된 빈 적재 위치를 사용한다.
• 물품 QR과 주문의 예약 물품 ID가 일치할 때만 적재한다.
• 물품을 놓고 그리퍼를 연 뒤 바구니 밖 안전 자세로 후퇴한 경우 적재 완료를 전송한다.
• 적재 동작에 실패하면 해당 물품을 보류하고 다음 물품의 처리 가능 여부를 FMS에 전달한다.</t>
  </si>
  <si>
    <t>SR_47</t>
  </si>
  <si>
    <t>적재 인수인계 확인 기능</t>
  </si>
  <si>
    <t>OMX는 Pinky 적재 동작이 끝난 후 실제 실행 결과와 물품 목록을 확인하여 FMS에 인수인계 완료를 전송한다.
• 그리퍼 열림, 적재 자세 도달과 안전 자세 후퇴가 모두 완료되어야 한다.
• 완료 메시지에는 작업 ID, 주문 ID, Pinky ID와 적재한 물품 ID를 포함한다.
• FMS는 예정 물품 목록과 완료 메시지의 물품 목록이 일치할 때만 운반 단계를 시작한다.
• 물품 목록이 다르면 Pinky를 출발시키지 않고 적재 확인 보류 상태로 둔다.</t>
  </si>
  <si>
    <t>SR_48</t>
  </si>
  <si>
    <t>포장대·작업자 전달 위치 운반 기능</t>
  </si>
  <si>
    <t>UR_02, UR_14</t>
  </si>
  <si>
    <t>Pinky는 출고 물품을 배정된 포장대 또는 작업자 요청 전달 위치까지 운반한다.
• OMX 적재 완료와 FMS의 운반 시작 승인을 받은 후 출발한다.
• RMF/Fleet Adapter가 승인한 경로를 따라 이동하고 Nav2가 로컬 장애물을 회피한다.
• 목적지에 도착하면 지정 방향으로 정차한 상태를 유지한다.
• Pinky는 물품을 자동 하차하지 않으며 이후 처리는 작업자 또는 OMX가 수행한다.</t>
  </si>
  <si>
    <t>SR_49</t>
  </si>
  <si>
    <t>포장 준비완료 표시 기능</t>
  </si>
  <si>
    <t>Pinky는 포장대 또는 작업자 전달 위치에 정차한 뒤 물품 인계 대기 상태를 LED 또는 화면으로 표시한다.
• 이동 중과 인계 대기 상태를 서로 다른 표시로 구분한다.
• 사람 위급상황의 빨간 LED와 부저가 일반 인계 표시보다 우선한다.
• 인계 완료 또는 작업 취소 후 일반 대기 표시로 복귀한다.
• 표시 상태는 Pinky의 작업 상태와 함께 FMS에 전송한다.</t>
  </si>
  <si>
    <t>SR_50</t>
  </si>
  <si>
    <t>관제 UI, DB</t>
  </si>
  <si>
    <t>전달 완료 입력·기록 기능</t>
  </si>
  <si>
    <t>UR_14, UR_15</t>
  </si>
  <si>
    <t>관제 UI는 작업자 또는 운영자가 주문 물품의 전달 완료를 입력하면 DB에 주문과 작업 결과를 기록한다.
• 완료 입력에는 주문 ID, Pinky ID, 전달 위치와 입력 시각을 포함한다.
• 이미 완료된 주문에 같은 입력을 반복해도 결과를 중복 반영하지 않는다.
• 전달 완료 입력 전에는 Pinky를 인계 대기 상태로 유지한다.
• 일부 물품만 전달되었으면 완료된 물품과 보류 물품을 구분하여 입력한다.</t>
  </si>
  <si>
    <t>SR_51</t>
  </si>
  <si>
    <t>출고 결과 확정 기능</t>
  </si>
  <si>
    <t>UR_02, UR_15</t>
  </si>
  <si>
    <t>FMS와 DB는 전달 완료 결과를 기준으로 출고 성공, 부분출고, 피킹 실패 또는 적재 실패 상태를 확정한다.
• 성공적으로 전달된 물품만 원본 재고 수량에서 차감하고 출고 이력에 추가한다.
• 피킹·적재 실패 또는 보류 물품은 원본 재고 위치와 수량을 유지한다.
• 주문 ID, 물품별 결과, 사용 로봇, 이동 경로와 단계별 작업 시간을 기록한다.
• 주문의 모든 물품 결과가 확정된 후 주문 전체 상태를 완료, 부분완료 또는 실패로 갱신한다.
• 결과 확정 후 Pinky에 대기·충전소 복귀 작업을 배정한다.</t>
  </si>
  <si>
    <t>SR_52</t>
  </si>
  <si>
    <t>비상상황</t>
  </si>
  <si>
    <t>사람 위급상황 감지 기능</t>
  </si>
  <si>
    <t>UR_10</t>
  </si>
  <si>
    <t>YOLO는 Pinky 또는 고정 카메라 영상에서 사람이 쓰러진 것으로 의심되는 자세와 움직임 정지를 감지한다.
• 사람 검출 후 서 있거나 걷는 자세와 다른 낮은 자세를 일정 프레임 동안 추적한다.
• 비정상 자세에서 설정된 시간 동안 움직임이 없을 때만 쓰러짐 의심 이벤트를 생성한다.
• 이벤트에는 카메라 ID, 저장 구역, 감지 위치, 감지 시각과 추적 ID를 포함한다.
• 사람이 정상적으로 움직이거나 자세를 회복하면 일반 감시 상태를 유지한다.
• 화재, 정전과 설비 고장은 이 비상상황 감지 범위에 포함하지 않는다.</t>
  </si>
  <si>
    <t>SR_53</t>
  </si>
  <si>
    <t>사람 위급상황 알림 기능</t>
  </si>
  <si>
    <t>관제 UI는 사람 쓰러짐 의심 이벤트를 수신하면 발생 위치와 영상을 운영자가 즉시 확인할 수 있도록 경고한다.
• 창고 지도에 발생 구역과 카메라 위치를 강조하고 감지 시각을 표시한다.
• 해당 카메라의 실시간 영상과 감지 직전 녹화 구간으로 이동할 수 있도록 한다.
• 경고는 일반 작업 오류보다 높은 우선순위로 표시하고 운영자가 확인한 시각을 기록한다.
• 비상 해제 승인 전까지 경고와 해당 구역 차단 상태를 유지한다.</t>
  </si>
  <si>
    <t>SR_54</t>
  </si>
  <si>
    <t>FMS, RMF/Fleet Adapter, Pinky</t>
  </si>
  <si>
    <t>비상 대응 구역·로봇 동작 제어 기능</t>
  </si>
  <si>
    <t>UR_09, UR_10</t>
  </si>
  <si>
    <t>FMS와 RMF/Fleet Adapter는 사람 위급상황 발생 위치를 비상 대응 구역으로 설정하고 주변 Pinky의 진입과 작업을 제한한다.
• 감지한 Pinky는 안전거리를 유지해 정지하고 빨간 LED와 부저를 작동한다.
• 고정 카메라가 감지했으면 FMS는 발생 구역 주변 Pinky의 접근을 금지한다.
• RMF/Fleet Adapter는 해당 구역을 임시 진입 금지 영역으로 적용하고 다른 Pinky의 경로를 우회시킨다.
• 비상 대응 구역 안에 있는 Pinky는 정지하고 새로운 작업 목표를 실행하지 않는다.
• 비상 해제 승인 전까지 진입 금지와 비상 표시를 유지한다.</t>
  </si>
  <si>
    <t>SR_55</t>
  </si>
  <si>
    <t>비상 영향 작업 보류·재할당 기능</t>
  </si>
  <si>
    <t>UR_10, UR_12</t>
  </si>
  <si>
    <t>FMS는 사람 위급상황으로 중단된 작업의 마지막 안전 완료 단계와 물품 상태를 기록하고 이어서 수행 가능한 작업만 재할당한다.
• 영향받은 작업의 주문 ID, 물품 위치, 파지·적재 상태와 마지막 완료 단계를 기록한다.
• 물품 상태가 확인되고 다른 Pinky가 이어받을 수 있으면 마지막 완료 단계의 다음 단계부터 재할당한다.
• 물품이 로봇에 실려 있거나 파지 중이어서 상태 확인이 필요하면 관리자 개입 필요 상태로 보류한다.
• 완료된 파지·적재·운반 단계를 반복하지 않는다.
• 비상 대응 구역 안의 로봇에는 새 작업을 배정하지 않는다.</t>
  </si>
  <si>
    <t>SR_56</t>
  </si>
  <si>
    <t>비상 대응 해제 승인 기능</t>
  </si>
  <si>
    <t>UR_07, UR_10</t>
  </si>
  <si>
    <t>관제 UI는 지정 관리자가 현장 대응 완료를 확인한 뒤 사람 위급상황 대응 모드 해제를 승인할 수 있도록 한다.
• 해제 요청에는 비상 이벤트 ID와 승인 시각을 기록한다.
• 승인 전에는 발생 구역 차단, 로봇 정지와 비상 표시를 유지한다.
• 해제 승인 시 FMS는 비상 구역을 해제하지만 중단된 작업을 즉시 재개하지 않는다.
• 영향받은 로봇은 먼저 대기·충전소 복귀와 상태 점검 절차로 전환한다.</t>
  </si>
  <si>
    <t>SR_57</t>
  </si>
  <si>
    <t>비상 해제 후 복귀·재투입 기능</t>
  </si>
  <si>
    <t>사람 위급상황이 해제되면 영향받은 Pinky는 지정 대기·충전소로 복귀하고 FMS는 상태 점검을 통과한 로봇만 새 작업에 투입한다.
• 비상 해제 후 영향받은 Pinky는 기존 목적지가 아니라 지정 대기·충전소 위치로 이동한다.
• 복귀 후 물품 적재 상태, 통신, 배터리와 필수 센서 상태를 점검한다.
• 모든 점검 항목이 정상인 Pinky만 작업 가능 상태로 변경한다.
• 물품이 남아 있거나 점검에 실패한 Pinky는 작업 불가 또는 관리자 확인 필요 상태로 유지한다.
• 정상 로봇도 중단 작업을 자동 재개하지 않고 FMS의 새 작업 할당을 기다린다.</t>
  </si>
  <si>
    <t>Requirements Sources and Scope</t>
  </si>
  <si>
    <t>구분</t>
  </si>
  <si>
    <t>자료</t>
  </si>
  <si>
    <t>적용 범위</t>
  </si>
  <si>
    <t>워크플로</t>
  </si>
  <si>
    <t>docs/scenario/입고_workflow.pdf</t>
  </si>
  <si>
    <t>입고 기본 흐름과 예외</t>
  </si>
  <si>
    <t>docs/scenario/출고_workflow.pdf - 출고 v2</t>
  </si>
  <si>
    <t>출고 기본 흐름과 예외</t>
  </si>
  <si>
    <t>docs/scenario/비상상황_workflow.pdf</t>
  </si>
  <si>
    <t>사람 위급상황 흐름</t>
  </si>
  <si>
    <t>요구사항</t>
  </si>
  <si>
    <t>docs/scenario/User Requirements.md</t>
  </si>
  <si>
    <t>UR ID 연결</t>
  </si>
  <si>
    <t>구현 구조</t>
  </si>
  <si>
    <t>docs/setup/pinky-control-tower-vision-implementation-checklist.html</t>
  </si>
  <si>
    <t>Control Tower, Pinky, Vision 경계</t>
  </si>
  <si>
    <t>영상</t>
  </si>
  <si>
    <t>docs/setup/2026-08-06-pinky-vision-streaming-design.md</t>
  </si>
  <si>
    <t>RTSP, 녹화, YOLO 역할</t>
  </si>
  <si>
    <t>로봇팔</t>
  </si>
  <si>
    <t>docs/setup/system_environment/2026-08-05-robot-arm-imitation-safe-operation-draft.md</t>
  </si>
  <si>
    <t>QR, ArUco, 파지 안전</t>
  </si>
  <si>
    <t>docs/vlm_rl/2026-08-07-vlm-rl-recovery-architecture-design.md</t>
  </si>
  <si>
    <t>주행 예외 복구 경계</t>
  </si>
  <si>
    <t>외부</t>
  </si>
  <si>
    <t>https://github.com/open-rmf/rmf</t>
  </si>
  <si>
    <t>RMF/Fleet Adapter</t>
  </si>
  <si>
    <t>https://pinklab.art/pinky-pro/</t>
  </si>
  <si>
    <t>Pinky Pro 사양</t>
  </si>
  <si>
    <t>https://docs.robotis.com/docs/systems/omx/introduction/</t>
  </si>
  <si>
    <t>OMX-AI 사양</t>
  </si>
  <si>
    <t>https://github.com/ROBOTIS-GIT/cyclo_intelligence</t>
  </si>
  <si>
    <t>OMX-AI 관련 구현</t>
  </si>
  <si>
    <t>범위 가정</t>
  </si>
  <si>
    <t>항목</t>
  </si>
  <si>
    <t>결정</t>
  </si>
  <si>
    <t>프로젝트</t>
  </si>
  <si>
    <t>2026-08-21까지 4주 시연 영상 완료</t>
  </si>
  <si>
    <t>입고 시작</t>
  </si>
  <si>
    <t>기본 시나리오는 QR·DB 등록 완료 후 시작</t>
  </si>
  <si>
    <t>물품</t>
  </si>
  <si>
    <t>Pinky·OMX 취급 가능 범위로 제한, 로드셀·무게 판단 제외</t>
  </si>
  <si>
    <t>운반·정차만 수행, 자동 하차 제외</t>
  </si>
  <si>
    <t>충전</t>
  </si>
  <si>
    <t>대기·충전소 위치 복귀만 수행, 충전 접촉 자동화 제외</t>
  </si>
  <si>
    <t>최종 적재·전달 완료 후 원본 재고 반영, 저장 실패 복구 제외</t>
  </si>
  <si>
    <t>통신</t>
  </si>
  <si>
    <t>기본 범위에서는 정상 통신 가정</t>
  </si>
  <si>
    <t>주문 배정</t>
  </si>
  <si>
    <t>기본 주문 1건당 Pinky 1대, 다중 Pinky는 Low 확장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</si>
</sst>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Carlito"/>
    </font>
    <font>
      <b/>
      <sz val="11"/>
      <color rgb="FF17233D"/>
      <name val="Carlito"/>
    </font>
    <font>
      <sz val="11"/>
      <color rgb="FF694F00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694F00"/>
      <name val="Carlito"/>
    </font>
    <font>
      <sz val="11"/>
      <name val="Carlito"/>
    </font>
    <font>
      <sz val="8"/>
      <name val="고양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233D"/>
      </patternFill>
    </fill>
    <fill>
      <patternFill patternType="solid">
        <fgColor rgb="FFE8EEF8"/>
      </patternFill>
    </fill>
    <fill>
      <patternFill patternType="solid">
        <fgColor rgb="FFFFF6D8"/>
      </patternFill>
    </fill>
    <fill>
      <patternFill patternType="solid">
        <fgColor rgb="FF284568"/>
      </patternFill>
    </fill>
  </fills>
  <borders count="9">
    <border>
      <left/>
      <right/>
      <top/>
      <bottom/>
      <diagonal/>
    </border>
    <border>
      <left style="thin">
        <color rgb="FF9AA8BC"/>
      </left>
      <right/>
      <top style="thin">
        <color rgb="FF9AA8BC"/>
      </top>
      <bottom style="thin">
        <color rgb="FF9AA8BC"/>
      </bottom>
      <diagonal/>
    </border>
    <border>
      <left/>
      <right/>
      <top style="thin">
        <color rgb="FF9AA8BC"/>
      </top>
      <bottom style="thin">
        <color rgb="FF9AA8BC"/>
      </bottom>
      <diagonal/>
    </border>
    <border>
      <left/>
      <right style="thin">
        <color rgb="FF9AA8BC"/>
      </right>
      <top style="thin">
        <color rgb="FF9AA8BC"/>
      </top>
      <bottom style="thin">
        <color rgb="FF9AA8BC"/>
      </bottom>
      <diagonal/>
    </border>
    <border>
      <left style="medium">
        <color rgb="FF17233D"/>
      </left>
      <right/>
      <top style="medium">
        <color rgb="FF17233D"/>
      </top>
      <bottom style="medium">
        <color rgb="FF17233D"/>
      </bottom>
      <diagonal/>
    </border>
    <border>
      <left/>
      <right/>
      <top style="medium">
        <color rgb="FF17233D"/>
      </top>
      <bottom style="medium">
        <color rgb="FF17233D"/>
      </bottom>
      <diagonal/>
    </border>
    <border>
      <left/>
      <right style="medium">
        <color rgb="FF17233D"/>
      </right>
      <top style="medium">
        <color rgb="FF17233D"/>
      </top>
      <bottom style="medium">
        <color rgb="FF17233D"/>
      </bottom>
      <diagonal/>
    </border>
    <border>
      <left/>
      <right/>
      <top style="thin">
        <color rgb="FFD9E0EA"/>
      </top>
      <bottom style="thin">
        <color rgb="FFD9E0EA"/>
      </bottom>
      <diagonal/>
    </border>
    <border>
      <left/>
      <right/>
      <top style="medium">
        <color rgb="FF284568"/>
      </top>
      <bottom style="thin">
        <color rgb="FFD9E0EA"/>
      </bottom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0" fillId="0" borderId="7" xfId="1" applyFont="1" applyBorder="1" applyAlignment="1">
      <alignment horizontal="center" vertical="top" wrapText="1"/>
    </xf>
    <xf numFmtId="0" fontId="0" fillId="0" borderId="7" xfId="1" applyFont="1" applyBorder="1" applyAlignment="1">
      <alignment horizontal="left" vertical="top" wrapText="1"/>
    </xf>
    <xf numFmtId="0" fontId="0" fillId="0" borderId="8" xfId="1" applyFont="1" applyBorder="1" applyAlignment="1">
      <alignment horizontal="center" vertical="top" wrapText="1"/>
    </xf>
    <xf numFmtId="0" fontId="0" fillId="0" borderId="8" xfId="1" applyFont="1" applyBorder="1" applyAlignment="1">
      <alignment horizontal="left" vertical="top" wrapText="1"/>
    </xf>
    <xf numFmtId="0" fontId="4" fillId="5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3" fillId="4" borderId="0" xfId="1" applyFont="1" applyFill="1" applyAlignment="1">
      <alignment horizontal="left" vertical="center"/>
    </xf>
    <xf numFmtId="0" fontId="5" fillId="2" borderId="0" xfId="1" applyFont="1" applyFill="1" applyAlignment="1">
      <alignment vertical="center"/>
    </xf>
    <xf numFmtId="0" fontId="6" fillId="4" borderId="0" xfId="1" applyFont="1" applyFill="1" applyAlignment="1">
      <alignment vertical="top" wrapText="1"/>
    </xf>
  </cellXfs>
  <cellStyles count="2">
    <cellStyle name="표준" xfId="0" builtinId="0"/>
    <cellStyle name="Normal" xfId="1" xr:uid="{00000000-0005-0000-0000-000000000000}"/>
  </cellStyles>
  <dxfs count="3"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stemRequirementsTable" displayName="SystemRequirementsTable" ref="A5:G62" totalsRowShown="0">
  <autoFilter ref="A5:G62" xr:uid="{00000000-0009-0000-0100-000001000000}"/>
  <tableColumns count="7">
    <tableColumn id="1" xr3:uid="{00000000-0010-0000-0000-000001000000}" name="SR ID"/>
    <tableColumn id="2" xr3:uid="{00000000-0010-0000-0000-000002000000}" name="Category"/>
    <tableColumn id="3" xr3:uid="{00000000-0010-0000-0000-000003000000}" name="Subject"/>
    <tableColumn id="4" xr3:uid="{00000000-0010-0000-0000-000004000000}" name="Name"/>
    <tableColumn id="5" xr3:uid="{00000000-0010-0000-0000-000005000000}" name="Priority"/>
    <tableColumn id="6" xr3:uid="{00000000-0010-0000-0000-000006000000}" name="UR ID"/>
    <tableColumn id="7" xr3:uid="{00000000-0010-0000-0000-000007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Table" displayName="ReferenceTable" ref="A3:C15" totalsRowShown="0">
  <tableColumns count="3">
    <tableColumn id="1" xr3:uid="{00000000-0010-0000-0100-000001000000}" name="구분"/>
    <tableColumn id="2" xr3:uid="{00000000-0010-0000-0100-000002000000}" name="자료"/>
    <tableColumn id="3" xr3:uid="{00000000-0010-0000-0100-000003000000}" name="적용 범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umptionTable" displayName="AssumptionTable" ref="A19:B27" totalsRowShown="0">
  <tableColumns count="2">
    <tableColumn id="1" xr3:uid="{00000000-0010-0000-0200-000001000000}" name="항목"/>
    <tableColumn id="2" xr3:uid="{00000000-0010-0000-0200-000002000000}" name="결정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showGridLines="0" tabSelected="1" workbookViewId="0">
      <selection activeCell="F15" sqref="F15"/>
    </sheetView>
  </sheetViews>
  <sheetFormatPr baseColWidth="10" defaultColWidth="8.83203125" defaultRowHeight="14"/>
  <cols>
    <col min="1" max="1" width="11.83203125" bestFit="1" customWidth="1"/>
    <col min="2" max="2" width="17.33203125" bestFit="1" customWidth="1"/>
    <col min="3" max="3" width="17" bestFit="1" customWidth="1"/>
    <col min="4" max="4" width="28.33203125" customWidth="1"/>
    <col min="5" max="5" width="13.33203125" bestFit="1" customWidth="1"/>
    <col min="6" max="6" width="14.6640625" bestFit="1" customWidth="1"/>
    <col min="7" max="7" width="95.83203125" bestFit="1" customWidth="1"/>
    <col min="8" max="8" width="4" bestFit="1" customWidth="1"/>
  </cols>
  <sheetData>
    <row r="1" spans="1:8" ht="23">
      <c r="A1" s="13" t="s">
        <v>0</v>
      </c>
      <c r="B1" s="13"/>
      <c r="C1" s="13"/>
      <c r="D1" s="13"/>
      <c r="E1" s="13"/>
      <c r="F1" s="13"/>
      <c r="G1" s="13"/>
      <c r="H1" s="13"/>
    </row>
    <row r="2" spans="1:8" ht="15">
      <c r="A2" s="1" t="s">
        <v>1</v>
      </c>
      <c r="B2" s="2">
        <f>COUNTA(A6:A62)</f>
        <v>57</v>
      </c>
      <c r="C2" s="2" t="s">
        <v>2</v>
      </c>
      <c r="D2" s="2">
        <f>COUNTIF(E6:E62,"High")</f>
        <v>40</v>
      </c>
      <c r="E2" s="2" t="s">
        <v>3</v>
      </c>
      <c r="F2" s="2">
        <f>COUNTIF(E6:E62,"Medium")</f>
        <v>7</v>
      </c>
      <c r="G2" s="2" t="s">
        <v>4</v>
      </c>
      <c r="H2" s="3">
        <f>COUNTIF(E6:E62,"Low")</f>
        <v>10</v>
      </c>
    </row>
    <row r="3" spans="1:8">
      <c r="A3" s="14" t="s">
        <v>5</v>
      </c>
      <c r="B3" s="14"/>
      <c r="C3" s="14"/>
      <c r="D3" s="14"/>
      <c r="E3" s="14"/>
      <c r="F3" s="14"/>
      <c r="G3" s="14"/>
      <c r="H3" s="14"/>
    </row>
    <row r="5" spans="1:8" ht="1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6" t="s">
        <v>12</v>
      </c>
    </row>
    <row r="6" spans="1:8" ht="135">
      <c r="A6" s="9" t="s">
        <v>13</v>
      </c>
      <c r="B6" s="9" t="s">
        <v>14</v>
      </c>
      <c r="C6" s="9" t="s">
        <v>15</v>
      </c>
      <c r="D6" s="9" t="s">
        <v>16</v>
      </c>
      <c r="E6" s="9" t="s">
        <v>2</v>
      </c>
      <c r="F6" s="9" t="s">
        <v>17</v>
      </c>
      <c r="G6" s="10" t="s">
        <v>18</v>
      </c>
    </row>
    <row r="7" spans="1:8" ht="135">
      <c r="A7" s="7" t="s">
        <v>19</v>
      </c>
      <c r="B7" s="7" t="s">
        <v>14</v>
      </c>
      <c r="C7" s="7" t="s">
        <v>20</v>
      </c>
      <c r="D7" s="7" t="s">
        <v>21</v>
      </c>
      <c r="E7" s="7" t="s">
        <v>2</v>
      </c>
      <c r="F7" s="7" t="s">
        <v>22</v>
      </c>
      <c r="G7" s="8" t="s">
        <v>23</v>
      </c>
    </row>
    <row r="8" spans="1:8" ht="105">
      <c r="A8" s="7" t="s">
        <v>24</v>
      </c>
      <c r="B8" s="7" t="s">
        <v>14</v>
      </c>
      <c r="C8" s="7" t="s">
        <v>25</v>
      </c>
      <c r="D8" s="7" t="s">
        <v>26</v>
      </c>
      <c r="E8" s="7" t="s">
        <v>2</v>
      </c>
      <c r="F8" s="7" t="s">
        <v>27</v>
      </c>
      <c r="G8" s="8" t="s">
        <v>28</v>
      </c>
    </row>
    <row r="9" spans="1:8" ht="120">
      <c r="A9" s="7" t="s">
        <v>29</v>
      </c>
      <c r="B9" s="7" t="s">
        <v>14</v>
      </c>
      <c r="C9" s="7" t="s">
        <v>30</v>
      </c>
      <c r="D9" s="7" t="s">
        <v>31</v>
      </c>
      <c r="E9" s="7" t="s">
        <v>2</v>
      </c>
      <c r="F9" s="7" t="s">
        <v>32</v>
      </c>
      <c r="G9" s="8" t="s">
        <v>33</v>
      </c>
    </row>
    <row r="10" spans="1:8" ht="105">
      <c r="A10" s="7" t="s">
        <v>34</v>
      </c>
      <c r="B10" s="7" t="s">
        <v>14</v>
      </c>
      <c r="C10" s="7" t="s">
        <v>35</v>
      </c>
      <c r="D10" s="7" t="s">
        <v>36</v>
      </c>
      <c r="E10" s="7" t="s">
        <v>2</v>
      </c>
      <c r="F10" s="7" t="s">
        <v>37</v>
      </c>
      <c r="G10" s="8" t="s">
        <v>38</v>
      </c>
    </row>
    <row r="11" spans="1:8" ht="105">
      <c r="A11" s="9" t="s">
        <v>39</v>
      </c>
      <c r="B11" s="9" t="s">
        <v>40</v>
      </c>
      <c r="C11" s="9" t="s">
        <v>41</v>
      </c>
      <c r="D11" s="9" t="s">
        <v>42</v>
      </c>
      <c r="E11" s="9" t="s">
        <v>2</v>
      </c>
      <c r="F11" s="9" t="s">
        <v>43</v>
      </c>
      <c r="G11" s="10" t="s">
        <v>44</v>
      </c>
    </row>
    <row r="12" spans="1:8" ht="210">
      <c r="A12" s="7" t="s">
        <v>45</v>
      </c>
      <c r="B12" s="7" t="s">
        <v>40</v>
      </c>
      <c r="C12" s="7" t="s">
        <v>46</v>
      </c>
      <c r="D12" s="7" t="s">
        <v>47</v>
      </c>
      <c r="E12" s="7" t="s">
        <v>2</v>
      </c>
      <c r="F12" s="7" t="s">
        <v>48</v>
      </c>
      <c r="G12" s="8" t="s">
        <v>49</v>
      </c>
    </row>
    <row r="13" spans="1:8" ht="105">
      <c r="A13" s="7" t="s">
        <v>50</v>
      </c>
      <c r="B13" s="7" t="s">
        <v>40</v>
      </c>
      <c r="C13" s="7" t="s">
        <v>46</v>
      </c>
      <c r="D13" s="7" t="s">
        <v>51</v>
      </c>
      <c r="E13" s="7" t="s">
        <v>3</v>
      </c>
      <c r="F13" s="7" t="s">
        <v>52</v>
      </c>
      <c r="G13" s="8" t="s">
        <v>53</v>
      </c>
    </row>
    <row r="14" spans="1:8" ht="120">
      <c r="A14" s="7" t="s">
        <v>54</v>
      </c>
      <c r="B14" s="7" t="s">
        <v>40</v>
      </c>
      <c r="C14" s="7" t="s">
        <v>55</v>
      </c>
      <c r="D14" s="7" t="s">
        <v>56</v>
      </c>
      <c r="E14" s="7" t="s">
        <v>2</v>
      </c>
      <c r="F14" s="7" t="s">
        <v>57</v>
      </c>
      <c r="G14" s="8" t="s">
        <v>58</v>
      </c>
    </row>
    <row r="15" spans="1:8" ht="135">
      <c r="A15" s="7" t="s">
        <v>59</v>
      </c>
      <c r="B15" s="7" t="s">
        <v>40</v>
      </c>
      <c r="C15" s="7" t="s">
        <v>46</v>
      </c>
      <c r="D15" s="7" t="s">
        <v>60</v>
      </c>
      <c r="E15" s="7" t="s">
        <v>4</v>
      </c>
      <c r="F15" s="7" t="s">
        <v>61</v>
      </c>
      <c r="G15" s="8" t="s">
        <v>62</v>
      </c>
    </row>
    <row r="16" spans="1:8" ht="150">
      <c r="A16" s="7" t="s">
        <v>63</v>
      </c>
      <c r="B16" s="7" t="s">
        <v>40</v>
      </c>
      <c r="C16" s="7" t="s">
        <v>64</v>
      </c>
      <c r="D16" s="7" t="s">
        <v>65</v>
      </c>
      <c r="E16" s="7" t="s">
        <v>2</v>
      </c>
      <c r="F16" s="7" t="s">
        <v>66</v>
      </c>
      <c r="G16" s="8" t="s">
        <v>67</v>
      </c>
    </row>
    <row r="17" spans="1:7" ht="150">
      <c r="A17" s="7" t="s">
        <v>68</v>
      </c>
      <c r="B17" s="7" t="s">
        <v>40</v>
      </c>
      <c r="C17" s="7" t="s">
        <v>35</v>
      </c>
      <c r="D17" s="7" t="s">
        <v>69</v>
      </c>
      <c r="E17" s="7" t="s">
        <v>4</v>
      </c>
      <c r="F17" s="7" t="s">
        <v>70</v>
      </c>
      <c r="G17" s="8" t="s">
        <v>71</v>
      </c>
    </row>
    <row r="18" spans="1:7" ht="90">
      <c r="A18" s="7" t="s">
        <v>72</v>
      </c>
      <c r="B18" s="7" t="s">
        <v>40</v>
      </c>
      <c r="C18" s="7" t="s">
        <v>64</v>
      </c>
      <c r="D18" s="7" t="s">
        <v>73</v>
      </c>
      <c r="E18" s="7" t="s">
        <v>2</v>
      </c>
      <c r="F18" s="7" t="s">
        <v>66</v>
      </c>
      <c r="G18" s="8" t="s">
        <v>74</v>
      </c>
    </row>
    <row r="19" spans="1:7" ht="135">
      <c r="A19" s="7" t="s">
        <v>75</v>
      </c>
      <c r="B19" s="7" t="s">
        <v>40</v>
      </c>
      <c r="C19" s="7" t="s">
        <v>64</v>
      </c>
      <c r="D19" s="7" t="s">
        <v>76</v>
      </c>
      <c r="E19" s="7" t="s">
        <v>2</v>
      </c>
      <c r="F19" s="7" t="s">
        <v>70</v>
      </c>
      <c r="G19" s="8" t="s">
        <v>77</v>
      </c>
    </row>
    <row r="20" spans="1:7" ht="105">
      <c r="A20" s="7" t="s">
        <v>78</v>
      </c>
      <c r="B20" s="7" t="s">
        <v>40</v>
      </c>
      <c r="C20" s="7" t="s">
        <v>64</v>
      </c>
      <c r="D20" s="7" t="s">
        <v>79</v>
      </c>
      <c r="E20" s="7" t="s">
        <v>2</v>
      </c>
      <c r="F20" s="7" t="s">
        <v>70</v>
      </c>
      <c r="G20" s="8" t="s">
        <v>80</v>
      </c>
    </row>
    <row r="21" spans="1:7" ht="120">
      <c r="A21" s="7" t="s">
        <v>81</v>
      </c>
      <c r="B21" s="7" t="s">
        <v>40</v>
      </c>
      <c r="C21" s="7" t="s">
        <v>64</v>
      </c>
      <c r="D21" s="7" t="s">
        <v>82</v>
      </c>
      <c r="E21" s="7" t="s">
        <v>2</v>
      </c>
      <c r="F21" s="7" t="s">
        <v>83</v>
      </c>
      <c r="G21" s="8" t="s">
        <v>84</v>
      </c>
    </row>
    <row r="22" spans="1:7" ht="105">
      <c r="A22" s="7" t="s">
        <v>85</v>
      </c>
      <c r="B22" s="7" t="s">
        <v>40</v>
      </c>
      <c r="C22" s="7" t="s">
        <v>86</v>
      </c>
      <c r="D22" s="7" t="s">
        <v>87</v>
      </c>
      <c r="E22" s="7" t="s">
        <v>2</v>
      </c>
      <c r="F22" s="7" t="s">
        <v>70</v>
      </c>
      <c r="G22" s="8" t="s">
        <v>88</v>
      </c>
    </row>
    <row r="23" spans="1:7" ht="105">
      <c r="A23" s="7" t="s">
        <v>89</v>
      </c>
      <c r="B23" s="7" t="s">
        <v>40</v>
      </c>
      <c r="C23" s="7" t="s">
        <v>86</v>
      </c>
      <c r="D23" s="7" t="s">
        <v>90</v>
      </c>
      <c r="E23" s="7" t="s">
        <v>2</v>
      </c>
      <c r="F23" s="7" t="s">
        <v>70</v>
      </c>
      <c r="G23" s="8" t="s">
        <v>91</v>
      </c>
    </row>
    <row r="24" spans="1:7" ht="75">
      <c r="A24" s="7" t="s">
        <v>92</v>
      </c>
      <c r="B24" s="7" t="s">
        <v>40</v>
      </c>
      <c r="C24" s="7" t="s">
        <v>35</v>
      </c>
      <c r="D24" s="7" t="s">
        <v>93</v>
      </c>
      <c r="E24" s="7" t="s">
        <v>2</v>
      </c>
      <c r="F24" s="7" t="s">
        <v>83</v>
      </c>
      <c r="G24" s="8" t="s">
        <v>94</v>
      </c>
    </row>
    <row r="25" spans="1:7" ht="90">
      <c r="A25" s="7" t="s">
        <v>95</v>
      </c>
      <c r="B25" s="7" t="s">
        <v>40</v>
      </c>
      <c r="C25" s="7" t="s">
        <v>35</v>
      </c>
      <c r="D25" s="7" t="s">
        <v>96</v>
      </c>
      <c r="E25" s="7" t="s">
        <v>2</v>
      </c>
      <c r="F25" s="7" t="s">
        <v>97</v>
      </c>
      <c r="G25" s="8" t="s">
        <v>98</v>
      </c>
    </row>
    <row r="26" spans="1:7" ht="105">
      <c r="A26" s="7" t="s">
        <v>99</v>
      </c>
      <c r="B26" s="7" t="s">
        <v>40</v>
      </c>
      <c r="C26" s="7" t="s">
        <v>46</v>
      </c>
      <c r="D26" s="7" t="s">
        <v>100</v>
      </c>
      <c r="E26" s="7" t="s">
        <v>2</v>
      </c>
      <c r="F26" s="7" t="s">
        <v>101</v>
      </c>
      <c r="G26" s="8" t="s">
        <v>102</v>
      </c>
    </row>
    <row r="27" spans="1:7" ht="90">
      <c r="A27" s="7" t="s">
        <v>103</v>
      </c>
      <c r="B27" s="7" t="s">
        <v>40</v>
      </c>
      <c r="C27" s="7" t="s">
        <v>104</v>
      </c>
      <c r="D27" s="7" t="s">
        <v>105</v>
      </c>
      <c r="E27" s="7" t="s">
        <v>4</v>
      </c>
      <c r="F27" s="7" t="s">
        <v>106</v>
      </c>
      <c r="G27" s="8" t="s">
        <v>107</v>
      </c>
    </row>
    <row r="28" spans="1:7" ht="90">
      <c r="A28" s="7" t="s">
        <v>108</v>
      </c>
      <c r="B28" s="7" t="s">
        <v>40</v>
      </c>
      <c r="C28" s="7" t="s">
        <v>104</v>
      </c>
      <c r="D28" s="7" t="s">
        <v>109</v>
      </c>
      <c r="E28" s="7" t="s">
        <v>2</v>
      </c>
      <c r="F28" s="7" t="s">
        <v>97</v>
      </c>
      <c r="G28" s="8" t="s">
        <v>110</v>
      </c>
    </row>
    <row r="29" spans="1:7" ht="90">
      <c r="A29" s="7" t="s">
        <v>111</v>
      </c>
      <c r="B29" s="7" t="s">
        <v>40</v>
      </c>
      <c r="C29" s="7" t="s">
        <v>104</v>
      </c>
      <c r="D29" s="7" t="s">
        <v>112</v>
      </c>
      <c r="E29" s="7" t="s">
        <v>2</v>
      </c>
      <c r="F29" s="7" t="s">
        <v>113</v>
      </c>
      <c r="G29" s="8" t="s">
        <v>114</v>
      </c>
    </row>
    <row r="30" spans="1:7" ht="75">
      <c r="A30" s="7" t="s">
        <v>115</v>
      </c>
      <c r="B30" s="7" t="s">
        <v>40</v>
      </c>
      <c r="C30" s="7" t="s">
        <v>104</v>
      </c>
      <c r="D30" s="7" t="s">
        <v>116</v>
      </c>
      <c r="E30" s="7" t="s">
        <v>2</v>
      </c>
      <c r="F30" s="7" t="s">
        <v>117</v>
      </c>
      <c r="G30" s="8" t="s">
        <v>118</v>
      </c>
    </row>
    <row r="31" spans="1:7" ht="135">
      <c r="A31" s="7" t="s">
        <v>119</v>
      </c>
      <c r="B31" s="7" t="s">
        <v>40</v>
      </c>
      <c r="C31" s="7" t="s">
        <v>120</v>
      </c>
      <c r="D31" s="7" t="s">
        <v>121</v>
      </c>
      <c r="E31" s="7" t="s">
        <v>4</v>
      </c>
      <c r="F31" s="7" t="s">
        <v>106</v>
      </c>
      <c r="G31" s="8" t="s">
        <v>122</v>
      </c>
    </row>
    <row r="32" spans="1:7" ht="90">
      <c r="A32" s="7" t="s">
        <v>123</v>
      </c>
      <c r="B32" s="7" t="s">
        <v>40</v>
      </c>
      <c r="C32" s="7" t="s">
        <v>46</v>
      </c>
      <c r="D32" s="7" t="s">
        <v>124</v>
      </c>
      <c r="E32" s="7" t="s">
        <v>3</v>
      </c>
      <c r="F32" s="7" t="s">
        <v>117</v>
      </c>
      <c r="G32" s="8" t="s">
        <v>125</v>
      </c>
    </row>
    <row r="33" spans="1:7" ht="105">
      <c r="A33" s="7" t="s">
        <v>126</v>
      </c>
      <c r="B33" s="7" t="s">
        <v>40</v>
      </c>
      <c r="C33" s="7" t="s">
        <v>46</v>
      </c>
      <c r="D33" s="7" t="s">
        <v>127</v>
      </c>
      <c r="E33" s="7" t="s">
        <v>2</v>
      </c>
      <c r="F33" s="7" t="s">
        <v>128</v>
      </c>
      <c r="G33" s="8" t="s">
        <v>129</v>
      </c>
    </row>
    <row r="34" spans="1:7" ht="105">
      <c r="A34" s="7" t="s">
        <v>130</v>
      </c>
      <c r="B34" s="7" t="s">
        <v>40</v>
      </c>
      <c r="C34" s="7" t="s">
        <v>46</v>
      </c>
      <c r="D34" s="7" t="s">
        <v>131</v>
      </c>
      <c r="E34" s="7" t="s">
        <v>2</v>
      </c>
      <c r="F34" s="7" t="s">
        <v>132</v>
      </c>
      <c r="G34" s="8" t="s">
        <v>133</v>
      </c>
    </row>
    <row r="35" spans="1:7" ht="105">
      <c r="A35" s="7" t="s">
        <v>134</v>
      </c>
      <c r="B35" s="7" t="s">
        <v>40</v>
      </c>
      <c r="C35" s="7" t="s">
        <v>135</v>
      </c>
      <c r="D35" s="7" t="s">
        <v>136</v>
      </c>
      <c r="E35" s="7" t="s">
        <v>4</v>
      </c>
      <c r="F35" s="7" t="s">
        <v>52</v>
      </c>
      <c r="G35" s="8" t="s">
        <v>137</v>
      </c>
    </row>
    <row r="36" spans="1:7" ht="90">
      <c r="A36" s="9" t="s">
        <v>138</v>
      </c>
      <c r="B36" s="9" t="s">
        <v>139</v>
      </c>
      <c r="C36" s="9" t="s">
        <v>86</v>
      </c>
      <c r="D36" s="9" t="s">
        <v>140</v>
      </c>
      <c r="E36" s="9" t="s">
        <v>4</v>
      </c>
      <c r="F36" s="9" t="s">
        <v>141</v>
      </c>
      <c r="G36" s="10" t="s">
        <v>142</v>
      </c>
    </row>
    <row r="37" spans="1:7" ht="75">
      <c r="A37" s="7" t="s">
        <v>143</v>
      </c>
      <c r="B37" s="7" t="s">
        <v>139</v>
      </c>
      <c r="C37" s="7" t="s">
        <v>144</v>
      </c>
      <c r="D37" s="7" t="s">
        <v>145</v>
      </c>
      <c r="E37" s="7" t="s">
        <v>4</v>
      </c>
      <c r="F37" s="7" t="s">
        <v>146</v>
      </c>
      <c r="G37" s="8" t="s">
        <v>147</v>
      </c>
    </row>
    <row r="38" spans="1:7" ht="90">
      <c r="A38" s="7" t="s">
        <v>148</v>
      </c>
      <c r="B38" s="7" t="s">
        <v>139</v>
      </c>
      <c r="C38" s="7" t="s">
        <v>46</v>
      </c>
      <c r="D38" s="7" t="s">
        <v>149</v>
      </c>
      <c r="E38" s="7" t="s">
        <v>4</v>
      </c>
      <c r="F38" s="7" t="s">
        <v>141</v>
      </c>
      <c r="G38" s="8" t="s">
        <v>150</v>
      </c>
    </row>
    <row r="39" spans="1:7" ht="75">
      <c r="A39" s="7" t="s">
        <v>151</v>
      </c>
      <c r="B39" s="7" t="s">
        <v>139</v>
      </c>
      <c r="C39" s="7" t="s">
        <v>46</v>
      </c>
      <c r="D39" s="7" t="s">
        <v>152</v>
      </c>
      <c r="E39" s="7" t="s">
        <v>2</v>
      </c>
      <c r="F39" s="7" t="s">
        <v>141</v>
      </c>
      <c r="G39" s="8" t="s">
        <v>153</v>
      </c>
    </row>
    <row r="40" spans="1:7" ht="75">
      <c r="A40" s="7" t="s">
        <v>154</v>
      </c>
      <c r="B40" s="7" t="s">
        <v>139</v>
      </c>
      <c r="C40" s="7" t="s">
        <v>46</v>
      </c>
      <c r="D40" s="7" t="s">
        <v>155</v>
      </c>
      <c r="E40" s="7" t="s">
        <v>2</v>
      </c>
      <c r="F40" s="7" t="s">
        <v>141</v>
      </c>
      <c r="G40" s="8" t="s">
        <v>156</v>
      </c>
    </row>
    <row r="41" spans="1:7" ht="90">
      <c r="A41" s="7" t="s">
        <v>157</v>
      </c>
      <c r="B41" s="7" t="s">
        <v>139</v>
      </c>
      <c r="C41" s="7" t="s">
        <v>46</v>
      </c>
      <c r="D41" s="7" t="s">
        <v>158</v>
      </c>
      <c r="E41" s="7" t="s">
        <v>4</v>
      </c>
      <c r="F41" s="7" t="s">
        <v>159</v>
      </c>
      <c r="G41" s="8" t="s">
        <v>160</v>
      </c>
    </row>
    <row r="42" spans="1:7" ht="90">
      <c r="A42" s="7" t="s">
        <v>161</v>
      </c>
      <c r="B42" s="7" t="s">
        <v>139</v>
      </c>
      <c r="C42" s="7" t="s">
        <v>64</v>
      </c>
      <c r="D42" s="7" t="s">
        <v>162</v>
      </c>
      <c r="E42" s="7" t="s">
        <v>2</v>
      </c>
      <c r="F42" s="7" t="s">
        <v>163</v>
      </c>
      <c r="G42" s="8" t="s">
        <v>164</v>
      </c>
    </row>
    <row r="43" spans="1:7" ht="75">
      <c r="A43" s="7" t="s">
        <v>165</v>
      </c>
      <c r="B43" s="7" t="s">
        <v>139</v>
      </c>
      <c r="C43" s="7" t="s">
        <v>144</v>
      </c>
      <c r="D43" s="7" t="s">
        <v>166</v>
      </c>
      <c r="E43" s="7" t="s">
        <v>2</v>
      </c>
      <c r="F43" s="7" t="s">
        <v>146</v>
      </c>
      <c r="G43" s="8" t="s">
        <v>167</v>
      </c>
    </row>
    <row r="44" spans="1:7" ht="90">
      <c r="A44" s="9" t="s">
        <v>168</v>
      </c>
      <c r="B44" s="9" t="s">
        <v>169</v>
      </c>
      <c r="C44" s="9" t="s">
        <v>46</v>
      </c>
      <c r="D44" s="9" t="s">
        <v>170</v>
      </c>
      <c r="E44" s="9" t="s">
        <v>2</v>
      </c>
      <c r="F44" s="9" t="s">
        <v>171</v>
      </c>
      <c r="G44" s="10" t="s">
        <v>172</v>
      </c>
    </row>
    <row r="45" spans="1:7" ht="75">
      <c r="A45" s="7" t="s">
        <v>173</v>
      </c>
      <c r="B45" s="7" t="s">
        <v>169</v>
      </c>
      <c r="C45" s="7" t="s">
        <v>46</v>
      </c>
      <c r="D45" s="7" t="s">
        <v>174</v>
      </c>
      <c r="E45" s="7" t="s">
        <v>2</v>
      </c>
      <c r="F45" s="7" t="s">
        <v>175</v>
      </c>
      <c r="G45" s="8" t="s">
        <v>176</v>
      </c>
    </row>
    <row r="46" spans="1:7" ht="90">
      <c r="A46" s="7" t="s">
        <v>177</v>
      </c>
      <c r="B46" s="7" t="s">
        <v>169</v>
      </c>
      <c r="C46" s="7" t="s">
        <v>46</v>
      </c>
      <c r="D46" s="7" t="s">
        <v>178</v>
      </c>
      <c r="E46" s="7" t="s">
        <v>3</v>
      </c>
      <c r="F46" s="7" t="s">
        <v>179</v>
      </c>
      <c r="G46" s="8" t="s">
        <v>180</v>
      </c>
    </row>
    <row r="47" spans="1:7" ht="90">
      <c r="A47" s="7" t="s">
        <v>181</v>
      </c>
      <c r="B47" s="7" t="s">
        <v>169</v>
      </c>
      <c r="C47" s="7" t="s">
        <v>46</v>
      </c>
      <c r="D47" s="7" t="s">
        <v>182</v>
      </c>
      <c r="E47" s="7" t="s">
        <v>4</v>
      </c>
      <c r="F47" s="7" t="s">
        <v>183</v>
      </c>
      <c r="G47" s="8" t="s">
        <v>184</v>
      </c>
    </row>
    <row r="48" spans="1:7" ht="90">
      <c r="A48" s="7" t="s">
        <v>185</v>
      </c>
      <c r="B48" s="7" t="s">
        <v>169</v>
      </c>
      <c r="C48" s="7" t="s">
        <v>55</v>
      </c>
      <c r="D48" s="7" t="s">
        <v>186</v>
      </c>
      <c r="E48" s="7" t="s">
        <v>3</v>
      </c>
      <c r="F48" s="7" t="s">
        <v>187</v>
      </c>
      <c r="G48" s="8" t="s">
        <v>188</v>
      </c>
    </row>
    <row r="49" spans="1:7" ht="75">
      <c r="A49" s="7" t="s">
        <v>189</v>
      </c>
      <c r="B49" s="7" t="s">
        <v>169</v>
      </c>
      <c r="C49" s="7" t="s">
        <v>35</v>
      </c>
      <c r="D49" s="7" t="s">
        <v>190</v>
      </c>
      <c r="E49" s="7" t="s">
        <v>3</v>
      </c>
      <c r="F49" s="7" t="s">
        <v>187</v>
      </c>
      <c r="G49" s="8" t="s">
        <v>191</v>
      </c>
    </row>
    <row r="50" spans="1:7" ht="90">
      <c r="A50" s="7" t="s">
        <v>192</v>
      </c>
      <c r="B50" s="7" t="s">
        <v>169</v>
      </c>
      <c r="C50" s="7" t="s">
        <v>193</v>
      </c>
      <c r="D50" s="7" t="s">
        <v>194</v>
      </c>
      <c r="E50" s="7" t="s">
        <v>3</v>
      </c>
      <c r="F50" s="7" t="s">
        <v>187</v>
      </c>
      <c r="G50" s="8" t="s">
        <v>195</v>
      </c>
    </row>
    <row r="51" spans="1:7" ht="90">
      <c r="A51" s="7" t="s">
        <v>196</v>
      </c>
      <c r="B51" s="7" t="s">
        <v>169</v>
      </c>
      <c r="C51" s="7" t="s">
        <v>64</v>
      </c>
      <c r="D51" s="7" t="s">
        <v>197</v>
      </c>
      <c r="E51" s="7" t="s">
        <v>2</v>
      </c>
      <c r="F51" s="7" t="s">
        <v>198</v>
      </c>
      <c r="G51" s="8" t="s">
        <v>199</v>
      </c>
    </row>
    <row r="52" spans="1:7" ht="90">
      <c r="A52" s="7" t="s">
        <v>200</v>
      </c>
      <c r="B52" s="7" t="s">
        <v>169</v>
      </c>
      <c r="C52" s="7" t="s">
        <v>64</v>
      </c>
      <c r="D52" s="7" t="s">
        <v>201</v>
      </c>
      <c r="E52" s="7" t="s">
        <v>2</v>
      </c>
      <c r="F52" s="7" t="s">
        <v>101</v>
      </c>
      <c r="G52" s="8" t="s">
        <v>202</v>
      </c>
    </row>
    <row r="53" spans="1:7" ht="75">
      <c r="A53" s="7" t="s">
        <v>203</v>
      </c>
      <c r="B53" s="7" t="s">
        <v>169</v>
      </c>
      <c r="C53" s="7" t="s">
        <v>104</v>
      </c>
      <c r="D53" s="7" t="s">
        <v>204</v>
      </c>
      <c r="E53" s="7" t="s">
        <v>2</v>
      </c>
      <c r="F53" s="7" t="s">
        <v>205</v>
      </c>
      <c r="G53" s="8" t="s">
        <v>206</v>
      </c>
    </row>
    <row r="54" spans="1:7" ht="75">
      <c r="A54" s="7" t="s">
        <v>207</v>
      </c>
      <c r="B54" s="7" t="s">
        <v>169</v>
      </c>
      <c r="C54" s="7" t="s">
        <v>104</v>
      </c>
      <c r="D54" s="7" t="s">
        <v>208</v>
      </c>
      <c r="E54" s="7" t="s">
        <v>3</v>
      </c>
      <c r="F54" s="7" t="s">
        <v>187</v>
      </c>
      <c r="G54" s="8" t="s">
        <v>209</v>
      </c>
    </row>
    <row r="55" spans="1:7" ht="75">
      <c r="A55" s="7" t="s">
        <v>210</v>
      </c>
      <c r="B55" s="7" t="s">
        <v>169</v>
      </c>
      <c r="C55" s="7" t="s">
        <v>211</v>
      </c>
      <c r="D55" s="7" t="s">
        <v>212</v>
      </c>
      <c r="E55" s="7" t="s">
        <v>2</v>
      </c>
      <c r="F55" s="7" t="s">
        <v>213</v>
      </c>
      <c r="G55" s="8" t="s">
        <v>214</v>
      </c>
    </row>
    <row r="56" spans="1:7" ht="90">
      <c r="A56" s="7" t="s">
        <v>215</v>
      </c>
      <c r="B56" s="7" t="s">
        <v>169</v>
      </c>
      <c r="C56" s="7" t="s">
        <v>41</v>
      </c>
      <c r="D56" s="7" t="s">
        <v>216</v>
      </c>
      <c r="E56" s="7" t="s">
        <v>2</v>
      </c>
      <c r="F56" s="7" t="s">
        <v>217</v>
      </c>
      <c r="G56" s="8" t="s">
        <v>218</v>
      </c>
    </row>
    <row r="57" spans="1:7" ht="105">
      <c r="A57" s="9" t="s">
        <v>219</v>
      </c>
      <c r="B57" s="9" t="s">
        <v>220</v>
      </c>
      <c r="C57" s="9" t="s">
        <v>35</v>
      </c>
      <c r="D57" s="9" t="s">
        <v>221</v>
      </c>
      <c r="E57" s="9" t="s">
        <v>2</v>
      </c>
      <c r="F57" s="9" t="s">
        <v>222</v>
      </c>
      <c r="G57" s="10" t="s">
        <v>223</v>
      </c>
    </row>
    <row r="58" spans="1:7" ht="90">
      <c r="A58" s="7" t="s">
        <v>224</v>
      </c>
      <c r="B58" s="7" t="s">
        <v>220</v>
      </c>
      <c r="C58" s="7" t="s">
        <v>15</v>
      </c>
      <c r="D58" s="7" t="s">
        <v>225</v>
      </c>
      <c r="E58" s="7" t="s">
        <v>2</v>
      </c>
      <c r="F58" s="7" t="s">
        <v>222</v>
      </c>
      <c r="G58" s="8" t="s">
        <v>226</v>
      </c>
    </row>
    <row r="59" spans="1:7" ht="105">
      <c r="A59" s="7" t="s">
        <v>227</v>
      </c>
      <c r="B59" s="7" t="s">
        <v>220</v>
      </c>
      <c r="C59" s="7" t="s">
        <v>228</v>
      </c>
      <c r="D59" s="7" t="s">
        <v>229</v>
      </c>
      <c r="E59" s="7" t="s">
        <v>2</v>
      </c>
      <c r="F59" s="7" t="s">
        <v>230</v>
      </c>
      <c r="G59" s="8" t="s">
        <v>231</v>
      </c>
    </row>
    <row r="60" spans="1:7" ht="105">
      <c r="A60" s="7" t="s">
        <v>232</v>
      </c>
      <c r="B60" s="7" t="s">
        <v>220</v>
      </c>
      <c r="C60" s="7" t="s">
        <v>46</v>
      </c>
      <c r="D60" s="7" t="s">
        <v>233</v>
      </c>
      <c r="E60" s="7" t="s">
        <v>2</v>
      </c>
      <c r="F60" s="7" t="s">
        <v>234</v>
      </c>
      <c r="G60" s="8" t="s">
        <v>235</v>
      </c>
    </row>
    <row r="61" spans="1:7" ht="90">
      <c r="A61" s="7" t="s">
        <v>236</v>
      </c>
      <c r="B61" s="7" t="s">
        <v>220</v>
      </c>
      <c r="C61" s="7" t="s">
        <v>20</v>
      </c>
      <c r="D61" s="7" t="s">
        <v>237</v>
      </c>
      <c r="E61" s="7" t="s">
        <v>2</v>
      </c>
      <c r="F61" s="7" t="s">
        <v>238</v>
      </c>
      <c r="G61" s="8" t="s">
        <v>239</v>
      </c>
    </row>
    <row r="62" spans="1:7" ht="105">
      <c r="A62" s="7" t="s">
        <v>240</v>
      </c>
      <c r="B62" s="7" t="s">
        <v>220</v>
      </c>
      <c r="C62" s="7" t="s">
        <v>193</v>
      </c>
      <c r="D62" s="7" t="s">
        <v>241</v>
      </c>
      <c r="E62" s="7" t="s">
        <v>2</v>
      </c>
      <c r="F62" s="7" t="s">
        <v>234</v>
      </c>
      <c r="G62" s="8" t="s">
        <v>242</v>
      </c>
    </row>
  </sheetData>
  <mergeCells count="2">
    <mergeCell ref="A1:H1"/>
    <mergeCell ref="A3:H3"/>
  </mergeCells>
  <phoneticPr fontId="8" type="noConversion"/>
  <conditionalFormatting sqref="E6:E62">
    <cfRule type="containsText" dxfId="2" priority="1" operator="containsText" text="High"/>
    <cfRule type="containsText" dxfId="1" priority="2" operator="containsText" text="Medium"/>
    <cfRule type="containsText" dxfId="0" priority="3" operator="containsText" text="Low"/>
  </conditionalFormatting>
  <dataValidations count="1">
    <dataValidation type="list" sqref="E6:E62" xr:uid="{00000000-0002-0000-00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showGridLines="0" workbookViewId="0"/>
  </sheetViews>
  <sheetFormatPr baseColWidth="10" defaultColWidth="8.83203125" defaultRowHeight="14"/>
  <cols>
    <col min="1" max="1" width="13.83203125" customWidth="1"/>
    <col min="2" max="2" width="67.83203125" customWidth="1"/>
    <col min="3" max="3" width="30" customWidth="1"/>
  </cols>
  <sheetData>
    <row r="1" spans="1:3" ht="30" customHeight="1">
      <c r="A1" s="15" t="s">
        <v>243</v>
      </c>
      <c r="B1" s="15"/>
      <c r="C1" s="15"/>
    </row>
    <row r="3" spans="1:3" ht="16">
      <c r="A3" s="11" t="s">
        <v>244</v>
      </c>
      <c r="B3" s="11" t="s">
        <v>245</v>
      </c>
      <c r="C3" s="11" t="s">
        <v>246</v>
      </c>
    </row>
    <row r="4" spans="1:3" ht="33" customHeight="1">
      <c r="A4" s="12" t="s">
        <v>247</v>
      </c>
      <c r="B4" s="12" t="s">
        <v>248</v>
      </c>
      <c r="C4" s="12" t="s">
        <v>249</v>
      </c>
    </row>
    <row r="5" spans="1:3" ht="33" customHeight="1">
      <c r="A5" s="12" t="s">
        <v>247</v>
      </c>
      <c r="B5" s="12" t="s">
        <v>250</v>
      </c>
      <c r="C5" s="12" t="s">
        <v>251</v>
      </c>
    </row>
    <row r="6" spans="1:3" ht="33" customHeight="1">
      <c r="A6" s="12" t="s">
        <v>247</v>
      </c>
      <c r="B6" s="12" t="s">
        <v>252</v>
      </c>
      <c r="C6" s="12" t="s">
        <v>253</v>
      </c>
    </row>
    <row r="7" spans="1:3" ht="33" customHeight="1">
      <c r="A7" s="12" t="s">
        <v>254</v>
      </c>
      <c r="B7" s="12" t="s">
        <v>255</v>
      </c>
      <c r="C7" s="12" t="s">
        <v>256</v>
      </c>
    </row>
    <row r="8" spans="1:3" ht="33" customHeight="1">
      <c r="A8" s="12" t="s">
        <v>257</v>
      </c>
      <c r="B8" s="12" t="s">
        <v>258</v>
      </c>
      <c r="C8" s="12" t="s">
        <v>259</v>
      </c>
    </row>
    <row r="9" spans="1:3" ht="33" customHeight="1">
      <c r="A9" s="12" t="s">
        <v>260</v>
      </c>
      <c r="B9" s="12" t="s">
        <v>261</v>
      </c>
      <c r="C9" s="12" t="s">
        <v>262</v>
      </c>
    </row>
    <row r="10" spans="1:3" ht="33" customHeight="1">
      <c r="A10" s="12" t="s">
        <v>263</v>
      </c>
      <c r="B10" s="12" t="s">
        <v>264</v>
      </c>
      <c r="C10" s="12" t="s">
        <v>265</v>
      </c>
    </row>
    <row r="11" spans="1:3" ht="33" customHeight="1">
      <c r="A11" s="12" t="s">
        <v>120</v>
      </c>
      <c r="B11" s="12" t="s">
        <v>266</v>
      </c>
      <c r="C11" s="12" t="s">
        <v>267</v>
      </c>
    </row>
    <row r="12" spans="1:3" ht="33" customHeight="1">
      <c r="A12" s="12" t="s">
        <v>268</v>
      </c>
      <c r="B12" s="12" t="s">
        <v>269</v>
      </c>
      <c r="C12" s="12" t="s">
        <v>270</v>
      </c>
    </row>
    <row r="13" spans="1:3" ht="33" customHeight="1">
      <c r="A13" s="12" t="s">
        <v>268</v>
      </c>
      <c r="B13" s="12" t="s">
        <v>271</v>
      </c>
      <c r="C13" s="12" t="s">
        <v>272</v>
      </c>
    </row>
    <row r="14" spans="1:3" ht="33" customHeight="1">
      <c r="A14" s="12" t="s">
        <v>268</v>
      </c>
      <c r="B14" s="12" t="s">
        <v>273</v>
      </c>
      <c r="C14" s="12" t="s">
        <v>274</v>
      </c>
    </row>
    <row r="15" spans="1:3" ht="33" customHeight="1">
      <c r="A15" s="12" t="s">
        <v>268</v>
      </c>
      <c r="B15" s="12" t="s">
        <v>275</v>
      </c>
      <c r="C15" s="12" t="s">
        <v>276</v>
      </c>
    </row>
    <row r="16" spans="1:3">
      <c r="A16" s="12"/>
      <c r="B16" s="12"/>
      <c r="C16" s="12"/>
    </row>
    <row r="17" spans="1:3">
      <c r="A17" s="12"/>
      <c r="B17" s="12"/>
      <c r="C17" s="12"/>
    </row>
    <row r="18" spans="1:3" ht="15">
      <c r="A18" s="16" t="s">
        <v>277</v>
      </c>
      <c r="B18" s="16"/>
      <c r="C18" s="12"/>
    </row>
    <row r="19" spans="1:3" ht="15">
      <c r="A19" s="12" t="s">
        <v>278</v>
      </c>
      <c r="B19" s="12" t="s">
        <v>279</v>
      </c>
      <c r="C19" s="12"/>
    </row>
    <row r="20" spans="1:3" ht="33" customHeight="1">
      <c r="A20" s="12" t="s">
        <v>280</v>
      </c>
      <c r="B20" s="12" t="s">
        <v>281</v>
      </c>
      <c r="C20" s="12"/>
    </row>
    <row r="21" spans="1:3" ht="33" customHeight="1">
      <c r="A21" s="12" t="s">
        <v>282</v>
      </c>
      <c r="B21" s="12" t="s">
        <v>283</v>
      </c>
      <c r="C21" s="12"/>
    </row>
    <row r="22" spans="1:3" ht="33" customHeight="1">
      <c r="A22" s="12" t="s">
        <v>284</v>
      </c>
      <c r="B22" s="12" t="s">
        <v>285</v>
      </c>
      <c r="C22" s="12"/>
    </row>
    <row r="23" spans="1:3" ht="33" customHeight="1">
      <c r="A23" s="12" t="s">
        <v>104</v>
      </c>
      <c r="B23" s="12" t="s">
        <v>286</v>
      </c>
      <c r="C23" s="12"/>
    </row>
    <row r="24" spans="1:3" ht="33" customHeight="1">
      <c r="A24" s="12" t="s">
        <v>287</v>
      </c>
      <c r="B24" s="12" t="s">
        <v>288</v>
      </c>
      <c r="C24" s="12"/>
    </row>
    <row r="25" spans="1:3" ht="33" customHeight="1">
      <c r="A25" s="12" t="s">
        <v>144</v>
      </c>
      <c r="B25" s="12" t="s">
        <v>289</v>
      </c>
      <c r="C25" s="12"/>
    </row>
    <row r="26" spans="1:3" ht="33" customHeight="1">
      <c r="A26" s="12" t="s">
        <v>290</v>
      </c>
      <c r="B26" s="12" t="s">
        <v>291</v>
      </c>
      <c r="C26" s="12"/>
    </row>
    <row r="27" spans="1:3" ht="33" customHeight="1">
      <c r="A27" s="12" t="s">
        <v>292</v>
      </c>
      <c r="B27" s="12" t="s">
        <v>293</v>
      </c>
      <c r="C27" s="12"/>
    </row>
  </sheetData>
  <mergeCells count="2">
    <mergeCell ref="A1:C1"/>
    <mergeCell ref="A18:B18"/>
  </mergeCells>
  <phoneticPr fontId="8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System Requirements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시연 원</cp:lastModifiedBy>
  <dcterms:modified xsi:type="dcterms:W3CDTF">2026-08-08T19:35:40Z</dcterms:modified>
</cp:coreProperties>
</file>